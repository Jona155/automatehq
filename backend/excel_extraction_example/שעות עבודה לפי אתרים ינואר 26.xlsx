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comments8.xml" ContentType="application/vnd.openxmlformats-officedocument.spreadsheetml.comments+xml"/>
  <Override PartName="/xl/threadedComments/threadedComment8.xml" ContentType="application/vnd.ms-excel.threadedcomments+xml"/>
  <Override PartName="/xl/comments9.xml" ContentType="application/vnd.openxmlformats-officedocument.spreadsheetml.comments+xml"/>
  <Override PartName="/xl/threadedComments/threadedComment9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tzm\Desktop\מיזהב\ינואר 26\"/>
    </mc:Choice>
  </mc:AlternateContent>
  <xr:revisionPtr revIDLastSave="0" documentId="13_ncr:1_{13FD6C69-8F0A-4FEF-AB6B-7597C83AE9BD}" xr6:coauthVersionLast="47" xr6:coauthVersionMax="47" xr10:uidLastSave="{00000000-0000-0000-0000-000000000000}"/>
  <bookViews>
    <workbookView xWindow="28680" yWindow="-120" windowWidth="20730" windowHeight="11040" firstSheet="16" activeTab="16" xr2:uid="{D7BB8693-39D4-4F10-9951-6EB575BA89BC}"/>
  </bookViews>
  <sheets>
    <sheet name="שלו בכר |כפר שמריהו (2)" sheetId="33" r:id="rId1"/>
    <sheet name="שלו בכר | אודים (2)" sheetId="32" r:id="rId2"/>
    <sheet name="שלו בכר |רשפון (2)" sheetId="31" r:id="rId3"/>
    <sheet name="אלונפי" sheetId="1" r:id="rId4"/>
    <sheet name="רימונים | טבעון" sheetId="2" r:id="rId5"/>
    <sheet name="רימונים | תל מונד" sheetId="11" r:id="rId6"/>
    <sheet name="דסניב ונווה בניין" sheetId="4" r:id="rId7"/>
    <sheet name="דודאים" sheetId="5" r:id="rId8"/>
    <sheet name="בראיין טננבאום" sheetId="6" r:id="rId9"/>
    <sheet name="לרום" sheetId="7" r:id="rId10"/>
    <sheet name="יצחקוב אלעד" sheetId="8" r:id="rId11"/>
    <sheet name="יוסף ואזאנה" sheetId="9" r:id="rId12"/>
    <sheet name="שלו בכר | דיזינגוף" sheetId="10" r:id="rId13"/>
    <sheet name="שלו בכר |רשפון" sheetId="13" r:id="rId14"/>
    <sheet name="שלו בכר | אודים" sheetId="16" r:id="rId15"/>
    <sheet name="שלו בכר |כפר שמריהו" sheetId="18" r:id="rId16"/>
    <sheet name="אמיר אוריאלי | גבעת שמואל" sheetId="3" r:id="rId17"/>
    <sheet name="אמיר אוריאלי | בית הבד" sheetId="19" r:id="rId18"/>
    <sheet name="נשמן" sheetId="12" r:id="rId19"/>
    <sheet name="סלע בינוי" sheetId="23" r:id="rId20"/>
    <sheet name="תורגמן" sheetId="14" r:id="rId21"/>
    <sheet name="ברקת" sheetId="15" r:id="rId22"/>
    <sheet name="אלון וישניה" sheetId="17" r:id="rId23"/>
    <sheet name="אל הר" sheetId="20" r:id="rId24"/>
    <sheet name="כוכב עומרי לא מעודכן" sheetId="21" r:id="rId25"/>
    <sheet name="בר ים" sheetId="22" r:id="rId26"/>
    <sheet name="ארגמן" sheetId="24" r:id="rId27"/>
    <sheet name="יצחקוב | בית שמש" sheetId="25" r:id="rId28"/>
    <sheet name="עוגן יזמות | גילי חגג" sheetId="26" r:id="rId29"/>
    <sheet name="פדלון | התשח 2" sheetId="27" r:id="rId30"/>
    <sheet name="כוכב עומרי מעודכן" sheetId="28" r:id="rId31"/>
    <sheet name="אפ אנד דאון" sheetId="29" r:id="rId32"/>
    <sheet name="שלו בכר | דיזינגוף (2)" sheetId="30" r:id="rId3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4" i="14" l="1"/>
  <c r="H34" i="33"/>
  <c r="H37" i="33" s="1"/>
  <c r="H38" i="33" s="1"/>
  <c r="G34" i="33"/>
  <c r="F34" i="33"/>
  <c r="E34" i="33"/>
  <c r="D34" i="33"/>
  <c r="C34" i="33"/>
  <c r="B34" i="33"/>
  <c r="C34" i="32"/>
  <c r="B34" i="32"/>
  <c r="D34" i="32" s="1"/>
  <c r="D37" i="32" s="1"/>
  <c r="D38" i="32" s="1"/>
  <c r="C34" i="31"/>
  <c r="B34" i="31"/>
  <c r="D34" i="31" s="1"/>
  <c r="D37" i="31" s="1"/>
  <c r="D38" i="31" s="1"/>
  <c r="E34" i="30"/>
  <c r="D34" i="30"/>
  <c r="C34" i="30"/>
  <c r="B34" i="30"/>
  <c r="F34" i="30" s="1"/>
  <c r="F37" i="30" s="1"/>
  <c r="F38" i="30" s="1"/>
  <c r="C34" i="29" l="1"/>
  <c r="B34" i="29"/>
  <c r="D34" i="29" s="1"/>
  <c r="D37" i="29" s="1"/>
  <c r="D38" i="29" s="1"/>
  <c r="E34" i="28"/>
  <c r="D34" i="28"/>
  <c r="C34" i="28"/>
  <c r="B34" i="28"/>
  <c r="F34" i="28" s="1"/>
  <c r="F37" i="28" s="1"/>
  <c r="F38" i="28" s="1"/>
  <c r="F34" i="27"/>
  <c r="E34" i="27"/>
  <c r="D34" i="27"/>
  <c r="C34" i="27"/>
  <c r="B34" i="27"/>
  <c r="G34" i="27" s="1"/>
  <c r="B34" i="26"/>
  <c r="C34" i="26" s="1"/>
  <c r="B38" i="12"/>
  <c r="B37" i="12"/>
  <c r="E36" i="18"/>
  <c r="C36" i="18"/>
  <c r="G34" i="25"/>
  <c r="F34" i="25"/>
  <c r="J34" i="15"/>
  <c r="E34" i="25"/>
  <c r="I34" i="15"/>
  <c r="D34" i="25"/>
  <c r="C34" i="25"/>
  <c r="B34" i="25"/>
  <c r="B34" i="24"/>
  <c r="B36" i="15"/>
  <c r="C36" i="16"/>
  <c r="B36" i="16"/>
  <c r="B36" i="13"/>
  <c r="C38" i="9"/>
  <c r="B38" i="9"/>
  <c r="D34" i="21"/>
  <c r="I34" i="20"/>
  <c r="H34" i="20"/>
  <c r="G34" i="20"/>
  <c r="H34" i="2"/>
  <c r="F34" i="20"/>
  <c r="E34" i="23"/>
  <c r="D34" i="23"/>
  <c r="C34" i="23"/>
  <c r="B34" i="23"/>
  <c r="E34" i="21"/>
  <c r="E34" i="12"/>
  <c r="D34" i="12"/>
  <c r="E34" i="20"/>
  <c r="D34" i="20"/>
  <c r="C34" i="22"/>
  <c r="B34" i="22"/>
  <c r="C34" i="21"/>
  <c r="B34" i="21"/>
  <c r="C34" i="20"/>
  <c r="B34" i="20"/>
  <c r="E34" i="19"/>
  <c r="D34" i="19"/>
  <c r="C34" i="19"/>
  <c r="B34" i="19"/>
  <c r="F34" i="18"/>
  <c r="G34" i="18"/>
  <c r="D34" i="18"/>
  <c r="E34" i="18"/>
  <c r="C34" i="18"/>
  <c r="B34" i="18"/>
  <c r="N34" i="17"/>
  <c r="M34" i="17"/>
  <c r="L34" i="17"/>
  <c r="J34" i="17"/>
  <c r="K34" i="17"/>
  <c r="I34" i="17"/>
  <c r="H34" i="17"/>
  <c r="G34" i="17"/>
  <c r="E34" i="17"/>
  <c r="F34" i="17"/>
  <c r="D34" i="17"/>
  <c r="C34" i="17"/>
  <c r="B34" i="17"/>
  <c r="H34" i="15"/>
  <c r="G34" i="15"/>
  <c r="C34" i="16"/>
  <c r="B34" i="16"/>
  <c r="F34" i="15"/>
  <c r="E34" i="15"/>
  <c r="D34" i="15"/>
  <c r="C34" i="15"/>
  <c r="B34" i="15"/>
  <c r="C34" i="14"/>
  <c r="C34" i="13"/>
  <c r="B34" i="13"/>
  <c r="C34" i="12"/>
  <c r="B34" i="12"/>
  <c r="R34" i="11"/>
  <c r="Q34" i="11"/>
  <c r="P34" i="11"/>
  <c r="O34" i="11"/>
  <c r="N34" i="11"/>
  <c r="M34" i="11"/>
  <c r="L34" i="11"/>
  <c r="K34" i="11"/>
  <c r="J34" i="11"/>
  <c r="I34" i="11"/>
  <c r="H34" i="11"/>
  <c r="G34" i="11"/>
  <c r="F34" i="11"/>
  <c r="E34" i="11"/>
  <c r="D34" i="11"/>
  <c r="C34" i="11"/>
  <c r="B34" i="11"/>
  <c r="B34" i="10"/>
  <c r="C34" i="9"/>
  <c r="B34" i="9"/>
  <c r="C34" i="8"/>
  <c r="B34" i="8"/>
  <c r="E34" i="7"/>
  <c r="D34" i="7"/>
  <c r="C34" i="7"/>
  <c r="B34" i="7"/>
  <c r="E34" i="6"/>
  <c r="D34" i="6"/>
  <c r="C34" i="6"/>
  <c r="B34" i="6"/>
  <c r="B34" i="5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J34" i="3"/>
  <c r="I34" i="3"/>
  <c r="H34" i="3"/>
  <c r="G34" i="3"/>
  <c r="F34" i="3"/>
  <c r="E34" i="3"/>
  <c r="D34" i="3"/>
  <c r="C34" i="3"/>
  <c r="B34" i="3"/>
  <c r="G34" i="2"/>
  <c r="F34" i="2"/>
  <c r="B34" i="2"/>
  <c r="E34" i="2"/>
  <c r="D34" i="2"/>
  <c r="C34" i="2"/>
  <c r="E34" i="1"/>
  <c r="D34" i="1"/>
  <c r="C34" i="1"/>
  <c r="B3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tc={AA2386A6-E17A-4188-AE8F-40854D0AC738}</author>
  </authors>
  <commentList>
    <comment ref="B34" authorId="0" shapeId="0" xr:uid="{AA2386A6-E17A-4188-AE8F-40854D0AC738}">
      <text>
        <t>[הערה משורשרת]
גירסת Excel שברשותך מאפשרת לך לקרוא הערה משורשרת זו; עם זאת, כל שינויי העריכה שיתבצעו בה יוסרו אם הקובץ ייפתח בגירסה חדשה יותר של Excel. למידע נוסף: https://go.microsoft.com/fwlink/?linkid=870924
הערה:
    יש פער של 10 שעות בין החישוב שלהם (214) למה שרשום באקסל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tc={4EB7D25D-E945-424A-B048-7B878501D82E}</author>
    <author>tc={1EBFA208-D3F3-4DCD-971F-B1BE1F090EBA}</author>
    <author>tc={770B8A68-9EE3-43F9-BD9D-36AA039E8D64}</author>
    <author>tc={1AD92A96-EA9E-418B-B0BD-D2EA57BC9AA3}</author>
    <author>tc={3D8548B2-6B76-4318-B945-79957E8ED62B}</author>
    <author>tc={F3D8985F-C8E9-4FA3-AD10-93094AB45844}</author>
    <author>tc={3123A380-A8A6-4AC3-AE91-0E3037C9EC12}</author>
    <author>tc={E016B900-F4E5-42D0-A7AD-5B2DF8EA0267}</author>
    <author>tc={F77EF601-A0B1-42B2-9263-4D8C827DDE2F}</author>
    <author>tc={F5E9BD28-9172-4837-B7E1-D3C419D643F9}</author>
  </authors>
  <commentList>
    <comment ref="B34" authorId="0" shapeId="0" xr:uid="{4EB7D25D-E945-424A-B048-7B878501D82E}">
      <text>
        <t>[הערה משורשרת]
גירסת Excel שברשותך מאפשרת לך לקרוא הערה משורשרת זו; עם זאת, כל שינויי העריכה שיתבצעו בה יוסרו אם הקובץ ייפתח בגירסה חדשה יותר של Excel. למידע נוסף: https://go.microsoft.com/fwlink/?linkid=870924
הערה:
    רשום בכרטיס בסיכום שעות 213 למרות שזה הסיכום שיוצא לי פה, ורשום מינוס שש שעות. האם לעשות מינוס שש שעות ממה שמופיע בכרטיס או מהסכום שיוצא באקסל</t>
      </text>
    </comment>
    <comment ref="C34" authorId="1" shapeId="0" xr:uid="{1EBFA208-D3F3-4DCD-971F-B1BE1F090EBA}">
      <text>
        <t xml:space="preserve">[הערה משורשרת]
גירסת Excel שברשותך מאפשרת לך לקרוא הערה משורשרת זו; עם זאת, כל שינויי העריכה שיתבצעו בה יוסרו אם הקובץ ייפתח בגירסה חדשה יותר של Excel. למידע נוסף: https://go.microsoft.com/fwlink/?linkid=870924
הערה:
    כנ"ל , רשום בכרטיס 10 שעות פחות בסיכום החודשי + להפחית 9 שעות. ממה להפחית את התשע שעות
</t>
      </text>
    </comment>
    <comment ref="D34" authorId="2" shapeId="0" xr:uid="{770B8A68-9EE3-43F9-BD9D-36AA039E8D64}">
      <text>
        <t>[הערה משורשרת]
גירסת Excel שברשותך מאפשרת לך לקרוא הערה משורשרת זו; עם זאת, כל שינויי העריכה שיתבצעו בה יוסרו אם הקובץ ייפתח בגירסה חדשה יותר של Excel. למידע נוסף: https://go.microsoft.com/fwlink/?linkid=870924
הערה:
    בסיכום שעות יוצא לו 214 ובכרטיס רשום 211 ממה להפחית 23 שעות</t>
      </text>
    </comment>
    <comment ref="F34" authorId="3" shapeId="0" xr:uid="{1AD92A96-EA9E-418B-B0BD-D2EA57BC9AA3}">
      <text>
        <t>[הערה משורשרת]
גירסת Excel שברשותך מאפשרת לך לקרוא הערה משורשרת זו; עם זאת, כל שינויי העריכה שיתבצעו בה יוסרו אם הקובץ ייפתח בגירסה חדשה יותר של Excel. למידע נוסף: https://go.microsoft.com/fwlink/?linkid=870924
הערה:
    בכרטיס מופיע 211</t>
      </text>
    </comment>
    <comment ref="G34" authorId="4" shapeId="0" xr:uid="{3D8548B2-6B76-4318-B945-79957E8ED62B}">
      <text>
        <t>[הערה משורשרת]
גירסת Excel שברשותך מאפשרת לך לקרוא הערה משורשרת זו; עם זאת, כל שינויי העריכה שיתבצעו בה יוסרו אם הקובץ ייפתח בגירסה חדשה יותר של Excel. למידע נוסף: https://go.microsoft.com/fwlink/?linkid=870924
הערה:
    רשום לו בכרטיס 217</t>
      </text>
    </comment>
    <comment ref="H34" authorId="5" shapeId="0" xr:uid="{F3D8985F-C8E9-4FA3-AD10-93094AB45844}">
      <text>
        <t>[הערה משורשרת]
גירסת Excel שברשותך מאפשרת לך לקרוא הערה משורשרת זו; עם זאת, כל שינויי העריכה שיתבצעו בה יוסרו אם הקובץ ייפתח בגירסה חדשה יותר של Excel. למידע נוסף: https://go.microsoft.com/fwlink/?linkid=870924
הערה:
    רשום לו בכרטיס 219</t>
      </text>
    </comment>
    <comment ref="K34" authorId="6" shapeId="0" xr:uid="{3123A380-A8A6-4AC3-AE91-0E3037C9EC12}">
      <text>
        <t>[הערה משורשרת]
גירסת Excel שברשותך מאפשרת לך לקרוא הערה משורשרת זו; עם זאת, כל שינויי העריכה שיתבצעו בה יוסרו אם הקובץ ייפתח בגירסה חדשה יותר של Excel. למידע נוסף: https://go.microsoft.com/fwlink/?linkid=870924
הערה:
    רשום בכרטיס 204</t>
      </text>
    </comment>
    <comment ref="L34" authorId="7" shapeId="0" xr:uid="{E016B900-F4E5-42D0-A7AD-5B2DF8EA0267}">
      <text>
        <t>[הערה משורשרת]
גירסת Excel שברשותך מאפשרת לך לקרוא הערה משורשרת זו; עם זאת, כל שינויי העריכה שיתבצעו בה יוסרו אם הקובץ ייפתח בגירסה חדשה יותר של Excel. למידע נוסף: https://go.microsoft.com/fwlink/?linkid=870924
הערה:
    רשום בכרטיס 210</t>
      </text>
    </comment>
    <comment ref="M34" authorId="8" shapeId="0" xr:uid="{F77EF601-A0B1-42B2-9263-4D8C827DDE2F}">
      <text>
        <t>[הערה משורשרת]
גירסת Excel שברשותך מאפשרת לך לקרוא הערה משורשרת זו; עם זאת, כל שינויי העריכה שיתבצעו בה יוסרו אם הקובץ ייפתח בגירסה חדשה יותר של Excel. למידע נוסף: https://go.microsoft.com/fwlink/?linkid=870924
הערה:
    רשום בכרטיס 224. בתאריך ה5.1 לא ברור אם עבד 10 שעות או 11 שעות</t>
      </text>
    </comment>
    <comment ref="O34" authorId="9" shapeId="0" xr:uid="{F5E9BD28-9172-4837-B7E1-D3C419D643F9}">
      <text>
        <t>[הערה משורשרת]
גירסת Excel שברשותך מאפשרת לך לקרוא הערה משורשרת זו; עם זאת, כל שינויי העריכה שיתבצעו בה יוסרו אם הקובץ ייפתח בגירסה חדשה יותר של Excel. למידע נוסף: https://go.microsoft.com/fwlink/?linkid=870924
הערה:
    בכרטיס רשום לו 207 שעות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tc={DE8BB6D4-F6F3-419D-9D83-6F554B47C9A6}</author>
  </authors>
  <commentList>
    <comment ref="B7" authorId="0" shapeId="0" xr:uid="{DE8BB6D4-F6F3-419D-9D83-6F554B47C9A6}">
      <text>
        <t xml:space="preserve">[הערה משורשרת]
גירסת Excel שברשותך מאפשרת לך לקרוא הערה משורשרת זו; עם זאת, כל שינויי העריכה שיתבצעו בה יוסרו אם הקובץ ייפתח בגירסה חדשה יותר של Excel. למידע נוסף: https://go.microsoft.com/fwlink/?linkid=870924
הערה:
    האם להחליף לחופשה? 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tc={9503AD01-7AE4-4638-8D9D-11DE0DF580FC}</author>
  </authors>
  <commentList>
    <comment ref="B30" authorId="0" shapeId="0" xr:uid="{9503AD01-7AE4-4638-8D9D-11DE0DF580FC}">
      <text>
        <t xml:space="preserve">[הערה משורשרת]
גירסת Excel שברשותך מאפשרת לך לקרוא הערה משורשרת זו; עם זאת, כל שינויי העריכה שיתבצעו בה יוסרו אם הקובץ ייפתח בגירסה חדשה יותר של Excel. למידע נוסף: https://go.microsoft.com/fwlink/?linkid=870924
הערה:
    מתלבטת אם לשים לו מחלה או שלא
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tc={65EC9DE6-FE0B-4BCB-97D6-54EF74EA7052}</author>
  </authors>
  <commentList>
    <comment ref="C1" authorId="0" shapeId="0" xr:uid="{65EC9DE6-FE0B-4BCB-97D6-54EF74EA7052}">
      <text>
        <t>[הערה משורשרת]
גירסת Excel שברשותך מאפשרת לך לקרוא הערה משורשרת זו; עם זאת, כל שינויי העריכה שיתבצעו בה יוסרו אם הקובץ ייפתח בגירסה חדשה יותר של Excel. למידע נוסף: https://go.microsoft.com/fwlink/?linkid=870924
הערה:
    יש לו 13.84 ימי חופשה ו12.5 מחלה במידת הצורך להוסיף בסוף החודש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tc={DCC42995-354D-4307-9614-EC1E7D0EA8F5}</author>
  </authors>
  <commentList>
    <comment ref="C1" authorId="0" shapeId="0" xr:uid="{DCC42995-354D-4307-9614-EC1E7D0EA8F5}">
      <text>
        <t>[הערה משורשרת]
גירסת Excel שברשותך מאפשרת לך לקרוא הערה משורשרת זו; עם זאת, כל שינויי העריכה שיתבצעו בה יוסרו אם הקובץ ייפתח בגירסה חדשה יותר של Excel. למידע נוסף: https://go.microsoft.com/fwlink/?linkid=870924
הערה:
    לא ברור לי איפה עבד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tc={C86F193D-D5D1-4501-93BC-BB2DC62E9A78}</author>
    <author>tc={E3384D54-93B4-4DB0-ADCA-8CF25E7C8E98}</author>
  </authors>
  <commentList>
    <comment ref="E1" authorId="0" shapeId="0" xr:uid="{C86F193D-D5D1-4501-93BC-BB2DC62E9A78}">
      <text>
        <t>[הערה משורשרת]
גירסת Excel שברשותך מאפשרת לך לקרוא הערה משורשרת זו; עם זאת, כל שינויי העריכה שיתבצעו בה יוסרו אם הקובץ ייפתח בגירסה חדשה יותר של Excel. למידע נוסף: https://go.microsoft.com/fwlink/?linkid=870924
הערה:
    לא ברור לי איפה עבד</t>
      </text>
    </comment>
    <comment ref="H32" authorId="1" shapeId="0" xr:uid="{E3384D54-93B4-4DB0-ADCA-8CF25E7C8E98}">
      <text>
        <t>[הערה משורשרת]
גירסת Excel שברשותך מאפשרת לך לקרוא הערה משורשרת זו; עם זאת, כל שינויי העריכה שיתבצעו בה יוסרו אם הקובץ ייפתח בגירסה חדשה יותר של Excel. למידע נוסף: https://go.microsoft.com/fwlink/?linkid=870924
הערה:
    האם להוריד לו את המחלה? עבר 236 שעות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tc={FAC3D8CB-3559-4B21-BCDC-C3F93D79D19D}</author>
    <author>tc={85C70ABD-E446-42D0-BDC7-17763774F8C8}</author>
  </authors>
  <commentList>
    <comment ref="B1" authorId="0" shapeId="0" xr:uid="{FAC3D8CB-3559-4B21-BCDC-C3F93D79D19D}">
      <text>
        <t xml:space="preserve">[הערה משורשרת]
גירסת Excel שברשותך מאפשרת לך לקרוא הערה משורשרת זו; עם זאת, כל שינויי העריכה שיתבצעו בה יוסרו אם הקובץ ייפתח בגירסה חדשה יותר של Excel. למידע נוסף: https://go.microsoft.com/fwlink/?linkid=870924
הערה:
    אין לו ימי מחלה או חופשה בקושי </t>
      </text>
    </comment>
    <comment ref="L23" authorId="1" shapeId="0" xr:uid="{85C70ABD-E446-42D0-BDC7-17763774F8C8}">
      <text>
        <t>[הערה משורשרת]
גירסת Excel שברשותך מאפשרת לך לקרוא הערה משורשרת זו; עם זאת, כל שינויי העריכה שיתבצעו בה יוסרו אם הקובץ ייפתח בגירסה חדשה יותר של Excel. למידע נוסף: https://go.microsoft.com/fwlink/?linkid=870924
הערה:
    בכרטיס רשום משש וחצי עד 17:30 - אבל רשמו בסיכום 10.5</t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tc={543AD321-4950-48D3-83E9-6A3E8159D606}</author>
  </authors>
  <commentList>
    <comment ref="C31" authorId="0" shapeId="0" xr:uid="{543AD321-4950-48D3-83E9-6A3E8159D606}">
      <text>
        <t>[הערה משורשרת]
גירסת Excel שברשותך מאפשרת לך לקרוא הערה משורשרת זו; עם זאת, כל שינויי העריכה שיתבצעו בה יוסרו אם הקובץ ייפתח בגירסה חדשה יותר של Excel. למידע נוסף: https://go.microsoft.com/fwlink/?linkid=870924
הערה:
    רשום שעבד אצל אורי?</t>
      </text>
    </comment>
  </commentList>
</comments>
</file>

<file path=xl/sharedStrings.xml><?xml version="1.0" encoding="utf-8"?>
<sst xmlns="http://schemas.openxmlformats.org/spreadsheetml/2006/main" count="1670" uniqueCount="280">
  <si>
    <t>יום בחודש</t>
  </si>
  <si>
    <t>3-שבת</t>
  </si>
  <si>
    <t>10-שבת</t>
  </si>
  <si>
    <t>17-שבת</t>
  </si>
  <si>
    <t>24-שבת</t>
  </si>
  <si>
    <t>31-שבת</t>
  </si>
  <si>
    <t>סה"כ</t>
  </si>
  <si>
    <t>sudeshe</t>
  </si>
  <si>
    <t>שבת</t>
  </si>
  <si>
    <t>N8766752</t>
  </si>
  <si>
    <t>aruna</t>
  </si>
  <si>
    <t>P0361911</t>
  </si>
  <si>
    <t>sujuth</t>
  </si>
  <si>
    <t>P0141213</t>
  </si>
  <si>
    <t>kelum</t>
  </si>
  <si>
    <t>N9987665</t>
  </si>
  <si>
    <t>dilruk</t>
  </si>
  <si>
    <t>N10001485</t>
  </si>
  <si>
    <t>N11535369</t>
  </si>
  <si>
    <t>thusita</t>
  </si>
  <si>
    <t>N11345358</t>
  </si>
  <si>
    <t>N9710180</t>
  </si>
  <si>
    <t>sumith</t>
  </si>
  <si>
    <t>N11188771</t>
  </si>
  <si>
    <t>N9184974</t>
  </si>
  <si>
    <t>vinod</t>
  </si>
  <si>
    <t>N11343014</t>
  </si>
  <si>
    <t>sugath</t>
  </si>
  <si>
    <t>N7761308</t>
  </si>
  <si>
    <t>survin</t>
  </si>
  <si>
    <t>N10238747</t>
  </si>
  <si>
    <t>manoj</t>
  </si>
  <si>
    <t>nalaka</t>
  </si>
  <si>
    <t>P0196929</t>
  </si>
  <si>
    <t>nirmala</t>
  </si>
  <si>
    <t>N8850769</t>
  </si>
  <si>
    <t>jeewan</t>
  </si>
  <si>
    <t>P0013482</t>
  </si>
  <si>
    <t>manjula</t>
  </si>
  <si>
    <t>N8357232</t>
  </si>
  <si>
    <t>saman</t>
  </si>
  <si>
    <t>מחלה</t>
  </si>
  <si>
    <t>amila</t>
  </si>
  <si>
    <t>N9261611</t>
  </si>
  <si>
    <t>roshan</t>
  </si>
  <si>
    <t>גשם</t>
  </si>
  <si>
    <t>N11524793</t>
  </si>
  <si>
    <t>anura</t>
  </si>
  <si>
    <t>damith</t>
  </si>
  <si>
    <t>N11085837</t>
  </si>
  <si>
    <t>indika</t>
  </si>
  <si>
    <t>P0031335</t>
  </si>
  <si>
    <t>N11100858</t>
  </si>
  <si>
    <t>sandusiri</t>
  </si>
  <si>
    <t>N10740030</t>
  </si>
  <si>
    <t>sanjeewa</t>
  </si>
  <si>
    <t>N10016752</t>
  </si>
  <si>
    <t>N9971322</t>
  </si>
  <si>
    <t>samantha</t>
  </si>
  <si>
    <t>N11364770</t>
  </si>
  <si>
    <t>sampath</t>
  </si>
  <si>
    <t>N11039149</t>
  </si>
  <si>
    <t>ranga</t>
  </si>
  <si>
    <t>N10304613</t>
  </si>
  <si>
    <t>janaka</t>
  </si>
  <si>
    <t>P0057344</t>
  </si>
  <si>
    <t>lasantha</t>
  </si>
  <si>
    <t>N10079548</t>
  </si>
  <si>
    <t>asanka</t>
  </si>
  <si>
    <t>N9554899</t>
  </si>
  <si>
    <t>kumara</t>
  </si>
  <si>
    <t>P0216473</t>
  </si>
  <si>
    <t>chamal</t>
  </si>
  <si>
    <t>ויזה בינלאומית</t>
  </si>
  <si>
    <t>חופשה</t>
  </si>
  <si>
    <t>P0253100</t>
  </si>
  <si>
    <t>chaminda</t>
  </si>
  <si>
    <t>P0103862</t>
  </si>
  <si>
    <t>jagath</t>
  </si>
  <si>
    <t>N9798046</t>
  </si>
  <si>
    <t>sithum</t>
  </si>
  <si>
    <t>P0090388</t>
  </si>
  <si>
    <t>nishantha</t>
  </si>
  <si>
    <t>N8086087</t>
  </si>
  <si>
    <t>danushka</t>
  </si>
  <si>
    <t>N10055420</t>
  </si>
  <si>
    <t>sandun</t>
  </si>
  <si>
    <t>N8764401</t>
  </si>
  <si>
    <t>wasanta</t>
  </si>
  <si>
    <t>N11356602</t>
  </si>
  <si>
    <t>kapila</t>
  </si>
  <si>
    <t>P0236058</t>
  </si>
  <si>
    <t>premathilaka</t>
  </si>
  <si>
    <t>N11058903</t>
  </si>
  <si>
    <t>dammika</t>
  </si>
  <si>
    <t>אפ אנד דאון- לא נכנס לחישוב השעות שלו ביצחקוב</t>
  </si>
  <si>
    <t>P0719163</t>
  </si>
  <si>
    <t>udita</t>
  </si>
  <si>
    <t>P0365704</t>
  </si>
  <si>
    <t>kamal</t>
  </si>
  <si>
    <t>גבעת</t>
  </si>
  <si>
    <t>שמואל</t>
  </si>
  <si>
    <t>P0007210</t>
  </si>
  <si>
    <t>sujeewa</t>
  </si>
  <si>
    <t>N9355901</t>
  </si>
  <si>
    <t>sadun</t>
  </si>
  <si>
    <t>N9222421</t>
  </si>
  <si>
    <t>N10472898</t>
  </si>
  <si>
    <t>roni</t>
  </si>
  <si>
    <t>N8499564</t>
  </si>
  <si>
    <t>N10842735</t>
  </si>
  <si>
    <t>sumada</t>
  </si>
  <si>
    <t>N6766216</t>
  </si>
  <si>
    <t>asith</t>
  </si>
  <si>
    <t>rumesh</t>
  </si>
  <si>
    <t>P0002585</t>
  </si>
  <si>
    <t>ratnasiri</t>
  </si>
  <si>
    <t>N10894486</t>
  </si>
  <si>
    <t>N7237256</t>
  </si>
  <si>
    <t>N9235913</t>
  </si>
  <si>
    <t>ashan</t>
  </si>
  <si>
    <t>mishara</t>
  </si>
  <si>
    <t>P0019114</t>
  </si>
  <si>
    <t>N11075486</t>
  </si>
  <si>
    <t>wasantha</t>
  </si>
  <si>
    <t>P0253492</t>
  </si>
  <si>
    <t>N8383723</t>
  </si>
  <si>
    <t>gayan</t>
  </si>
  <si>
    <t>N10344623</t>
  </si>
  <si>
    <t>ajith</t>
  </si>
  <si>
    <t>P0196981</t>
  </si>
  <si>
    <t>tharindu</t>
  </si>
  <si>
    <t>N9964886</t>
  </si>
  <si>
    <t>shantha</t>
  </si>
  <si>
    <t>N10175009</t>
  </si>
  <si>
    <t>indika pradeep</t>
  </si>
  <si>
    <t>בר ים- השעות לא נכנסו לחישוב אצל תורגמן</t>
  </si>
  <si>
    <t>N10982148</t>
  </si>
  <si>
    <t>sanath</t>
  </si>
  <si>
    <t>N11469907</t>
  </si>
  <si>
    <t>bennda</t>
  </si>
  <si>
    <t>רימונים</t>
  </si>
  <si>
    <t>תל מונד</t>
  </si>
  <si>
    <t>N11042867</t>
  </si>
  <si>
    <t>תורגמן</t>
  </si>
  <si>
    <t>P0414715</t>
  </si>
  <si>
    <t>nishantha kumara</t>
  </si>
  <si>
    <t>N7285831</t>
  </si>
  <si>
    <t>N11064048</t>
  </si>
  <si>
    <t>P0186673</t>
  </si>
  <si>
    <t>ruwan</t>
  </si>
  <si>
    <t>N11139870</t>
  </si>
  <si>
    <t>idawara</t>
  </si>
  <si>
    <t>N10584189</t>
  </si>
  <si>
    <t>sarath</t>
  </si>
  <si>
    <t>N9682771</t>
  </si>
  <si>
    <t>N11238751</t>
  </si>
  <si>
    <t>sajith</t>
  </si>
  <si>
    <t>N9630047</t>
  </si>
  <si>
    <t>heenbada</t>
  </si>
  <si>
    <t>P0414802</t>
  </si>
  <si>
    <t>mihiran</t>
  </si>
  <si>
    <t>N10821629</t>
  </si>
  <si>
    <t>janapriya</t>
  </si>
  <si>
    <t>N10200651</t>
  </si>
  <si>
    <t>N11125604</t>
  </si>
  <si>
    <t>dissnaya</t>
  </si>
  <si>
    <t>N11133042</t>
  </si>
  <si>
    <t>N9804987</t>
  </si>
  <si>
    <t>N11473919</t>
  </si>
  <si>
    <t>sagith</t>
  </si>
  <si>
    <t>N11104585</t>
  </si>
  <si>
    <t>N10214101</t>
  </si>
  <si>
    <t>iroshan</t>
  </si>
  <si>
    <t>N9628556</t>
  </si>
  <si>
    <t>nirosh</t>
  </si>
  <si>
    <t>N8696840</t>
  </si>
  <si>
    <t>dhanushka</t>
  </si>
  <si>
    <t>N8496787</t>
  </si>
  <si>
    <t>mahesh</t>
  </si>
  <si>
    <t>N11090253</t>
  </si>
  <si>
    <t>dinesh</t>
  </si>
  <si>
    <t>P0208056</t>
  </si>
  <si>
    <t>premasiri</t>
  </si>
  <si>
    <t>N9879389</t>
  </si>
  <si>
    <t>N10255469</t>
  </si>
  <si>
    <t>suresh</t>
  </si>
  <si>
    <t>N10451080</t>
  </si>
  <si>
    <t>ravidu</t>
  </si>
  <si>
    <t>N9032761</t>
  </si>
  <si>
    <t>hashan</t>
  </si>
  <si>
    <t>jayantha</t>
  </si>
  <si>
    <t>N10542185</t>
  </si>
  <si>
    <t>אפ אנד דאון? שעות לא נכנסו לחישוב של אל הר</t>
  </si>
  <si>
    <t>N9707975</t>
  </si>
  <si>
    <t>prasad</t>
  </si>
  <si>
    <t>N8144986</t>
  </si>
  <si>
    <t>bhanuka</t>
  </si>
  <si>
    <t>P0168042</t>
  </si>
  <si>
    <t>N7152830</t>
  </si>
  <si>
    <t>saliya</t>
  </si>
  <si>
    <t>N10507690</t>
  </si>
  <si>
    <t>N10080702</t>
  </si>
  <si>
    <t>sameeda</t>
  </si>
  <si>
    <t>N11134553</t>
  </si>
  <si>
    <t>N10906908</t>
  </si>
  <si>
    <t>N9357676</t>
  </si>
  <si>
    <t>N9730530</t>
  </si>
  <si>
    <t>N8375114</t>
  </si>
  <si>
    <t>N11221205</t>
  </si>
  <si>
    <t>N11090460</t>
  </si>
  <si>
    <t>N11410318</t>
  </si>
  <si>
    <t>lal</t>
  </si>
  <si>
    <t>N9876409</t>
  </si>
  <si>
    <t>hasanka</t>
  </si>
  <si>
    <t>P0401523</t>
  </si>
  <si>
    <t>sujith</t>
  </si>
  <si>
    <t>sisara</t>
  </si>
  <si>
    <t>N10740013</t>
  </si>
  <si>
    <t>N8582035</t>
  </si>
  <si>
    <t>tharnga</t>
  </si>
  <si>
    <t>N10542951</t>
  </si>
  <si>
    <t>N10139998</t>
  </si>
  <si>
    <t>nishanta kumara</t>
  </si>
  <si>
    <t>ברקת?</t>
  </si>
  <si>
    <t>P0236340</t>
  </si>
  <si>
    <t>טבעון</t>
  </si>
  <si>
    <t>אל</t>
  </si>
  <si>
    <t>הר</t>
  </si>
  <si>
    <t>תל</t>
  </si>
  <si>
    <t>מונד</t>
  </si>
  <si>
    <t>P0197382</t>
  </si>
  <si>
    <t>N10802335</t>
  </si>
  <si>
    <t>upul</t>
  </si>
  <si>
    <t>P0402246</t>
  </si>
  <si>
    <t>sachitara</t>
  </si>
  <si>
    <t>malawi</t>
  </si>
  <si>
    <t>tharuka</t>
  </si>
  <si>
    <t>פרמיה:</t>
  </si>
  <si>
    <t xml:space="preserve">פרמיה: </t>
  </si>
  <si>
    <t>N10473174</t>
  </si>
  <si>
    <t>suranga</t>
  </si>
  <si>
    <t>N10108178</t>
  </si>
  <si>
    <t>kalu</t>
  </si>
  <si>
    <t>יצחקוב</t>
  </si>
  <si>
    <t xml:space="preserve">בית </t>
  </si>
  <si>
    <t>שמש</t>
  </si>
  <si>
    <t>בר ים</t>
  </si>
  <si>
    <t>P0089979</t>
  </si>
  <si>
    <t>P0231744</t>
  </si>
  <si>
    <t>N11073357</t>
  </si>
  <si>
    <t>royal</t>
  </si>
  <si>
    <t>ברקת</t>
  </si>
  <si>
    <t>P0019040</t>
  </si>
  <si>
    <t>dasun</t>
  </si>
  <si>
    <t>N11376847</t>
  </si>
  <si>
    <t>chandra</t>
  </si>
  <si>
    <t xml:space="preserve">חופשת </t>
  </si>
  <si>
    <t>יוסף ואזנה</t>
  </si>
  <si>
    <t>סה"כ שעות לאתר:</t>
  </si>
  <si>
    <t>N10212407</t>
  </si>
  <si>
    <t>N9790699</t>
  </si>
  <si>
    <t>P818288</t>
  </si>
  <si>
    <t>pushpa kumara</t>
  </si>
  <si>
    <t>jeewanta</t>
  </si>
  <si>
    <t>sachith</t>
  </si>
  <si>
    <t>N11441655</t>
  </si>
  <si>
    <t>75 ₪</t>
  </si>
  <si>
    <t>מחיר לשעה</t>
  </si>
  <si>
    <t>מחיר ללא מע"מ</t>
  </si>
  <si>
    <t>מחיר כולל מע"מ</t>
  </si>
  <si>
    <t>samith</t>
  </si>
  <si>
    <t>N6992227</t>
  </si>
  <si>
    <t>dhammika</t>
  </si>
  <si>
    <t>76 ₪</t>
  </si>
  <si>
    <t>P0090345</t>
  </si>
  <si>
    <t>N8940870</t>
  </si>
  <si>
    <t>N10314237</t>
  </si>
  <si>
    <t>אתר אחר</t>
  </si>
  <si>
    <t>78 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</si>
</sst>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rial"/>
      <family val="2"/>
      <charset val="177"/>
      <scheme val="minor"/>
    </font>
    <font>
      <b/>
      <i/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4" borderId="0" xfId="0" applyFill="1" applyAlignment="1">
      <alignment vertical="center" wrapText="1"/>
    </xf>
    <xf numFmtId="2" fontId="0" fillId="0" borderId="0" xfId="0" applyNumberFormat="1"/>
    <xf numFmtId="0" fontId="0" fillId="2" borderId="0" xfId="0" applyFill="1" applyAlignment="1">
      <alignment wrapText="1"/>
    </xf>
    <xf numFmtId="0" fontId="0" fillId="2" borderId="0" xfId="0" applyFill="1" applyAlignment="1">
      <alignment vertical="center" wrapText="1"/>
    </xf>
    <xf numFmtId="0" fontId="0" fillId="5" borderId="0" xfId="0" applyFill="1"/>
    <xf numFmtId="0" fontId="0" fillId="6" borderId="0" xfId="0" applyFill="1"/>
    <xf numFmtId="0" fontId="0" fillId="7" borderId="0" xfId="0" applyFill="1"/>
    <xf numFmtId="164" fontId="0" fillId="0" borderId="0" xfId="0" applyNumberFormat="1"/>
    <xf numFmtId="0" fontId="0" fillId="8" borderId="0" xfId="0" applyFill="1"/>
    <xf numFmtId="0" fontId="1" fillId="9" borderId="0" xfId="0" applyFont="1" applyFill="1"/>
    <xf numFmtId="0" fontId="2" fillId="0" borderId="0" xfId="0" applyFont="1"/>
    <xf numFmtId="0" fontId="1" fillId="0" borderId="0" xfId="0" applyFont="1"/>
    <xf numFmtId="0" fontId="0" fillId="2" borderId="0" xfId="0" applyFill="1" applyAlignment="1">
      <alignment horizontal="center" vertical="center"/>
    </xf>
    <xf numFmtId="0" fontId="0" fillId="9" borderId="0" xfId="0" applyFill="1"/>
  </cellXfs>
  <cellStyles count="1">
    <cellStyle name="Normal" xfId="0" builtinId="0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ניצן מיכאלי" id="{496B73EC-4145-4230-B18C-1F9D0118FA11}" userId="S::michnitz@post.bgu.ac.il::be073ace-a9dc-4e58-bfbf-fbf0eea7aaf5" providerId="AD"/>
</personList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34" dT="2026-02-01T11:28:55.42" personId="{496B73EC-4145-4230-B18C-1F9D0118FA11}" id="{AA2386A6-E17A-4188-AE8F-40854D0AC738}">
    <text>יש פער של 10 שעות בין החישוב שלהם (214) למה שרשום באקסל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34" dT="2026-02-01T10:14:22.76" personId="{496B73EC-4145-4230-B18C-1F9D0118FA11}" id="{4EB7D25D-E945-424A-B048-7B878501D82E}">
    <text>רשום בכרטיס בסיכום שעות 213 למרות שזה הסיכום שיוצא לי פה, ורשום מינוס שש שעות. האם לעשות מינוס שש שעות ממה שמופיע בכרטיס או מהסכום שיוצא באקסל</text>
  </threadedComment>
  <threadedComment ref="C34" dT="2026-02-01T10:14:45.26" personId="{496B73EC-4145-4230-B18C-1F9D0118FA11}" id="{1EBFA208-D3F3-4DCD-971F-B1BE1F090EBA}">
    <text xml:space="preserve">כנ"ל , רשום בכרטיס 10 שעות פחות בסיכום החודשי + להפחית 9 שעות. ממה להפחית את התשע שעות
</text>
  </threadedComment>
  <threadedComment ref="D34" dT="2026-02-01T10:19:44.17" personId="{496B73EC-4145-4230-B18C-1F9D0118FA11}" id="{770B8A68-9EE3-43F9-BD9D-36AA039E8D64}">
    <text>בסיכום שעות יוצא לו 214 ובכרטיס רשום 211 ממה להפחית 23 שעות</text>
  </threadedComment>
  <threadedComment ref="F34" dT="2026-02-01T10:19:53.80" personId="{496B73EC-4145-4230-B18C-1F9D0118FA11}" id="{1AD92A96-EA9E-418B-B0BD-D2EA57BC9AA3}">
    <text>בכרטיס מופיע 211</text>
  </threadedComment>
  <threadedComment ref="G34" dT="2026-02-01T10:21:59.82" personId="{496B73EC-4145-4230-B18C-1F9D0118FA11}" id="{3D8548B2-6B76-4318-B945-79957E8ED62B}">
    <text>רשום לו בכרטיס 217</text>
  </threadedComment>
  <threadedComment ref="H34" dT="2026-02-01T10:23:03.16" personId="{496B73EC-4145-4230-B18C-1F9D0118FA11}" id="{F3D8985F-C8E9-4FA3-AD10-93094AB45844}">
    <text>רשום לו בכרטיס 219</text>
  </threadedComment>
  <threadedComment ref="K34" dT="2026-02-01T10:27:00.23" personId="{496B73EC-4145-4230-B18C-1F9D0118FA11}" id="{3123A380-A8A6-4AC3-AE91-0E3037C9EC12}">
    <text>רשום בכרטיס 204</text>
  </threadedComment>
  <threadedComment ref="L34" dT="2026-02-01T10:27:53.16" personId="{496B73EC-4145-4230-B18C-1F9D0118FA11}" id="{E016B900-F4E5-42D0-A7AD-5B2DF8EA0267}">
    <text>רשום בכרטיס 210</text>
  </threadedComment>
  <threadedComment ref="M34" dT="2026-02-01T10:29:26.83" personId="{496B73EC-4145-4230-B18C-1F9D0118FA11}" id="{F77EF601-A0B1-42B2-9263-4D8C827DDE2F}">
    <text>רשום בכרטיס 224. בתאריך ה5.1 לא ברור אם עבד 10 שעות או 11 שעות</text>
  </threadedComment>
  <threadedComment ref="O34" dT="2026-02-01T10:36:28.48" personId="{496B73EC-4145-4230-B18C-1F9D0118FA11}" id="{F5E9BD28-9172-4837-B7E1-D3C419D643F9}">
    <text>בכרטיס רשום לו 207 שעות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B7" dT="2026-02-02T10:23:38.99" personId="{496B73EC-4145-4230-B18C-1F9D0118FA11}" id="{DE8BB6D4-F6F3-419D-9D83-6F554B47C9A6}">
    <text xml:space="preserve">האם להחליף לחופשה? 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B30" dT="2026-02-02T12:17:59.47" personId="{496B73EC-4145-4230-B18C-1F9D0118FA11}" id="{9503AD01-7AE4-4638-8D9D-11DE0DF580FC}">
    <text xml:space="preserve">מתלבטת אם לשים לו מחלה או שלא
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C1" dT="2026-02-02T10:26:53.77" personId="{496B73EC-4145-4230-B18C-1F9D0118FA11}" id="{65EC9DE6-FE0B-4BCB-97D6-54EF74EA7052}">
    <text>יש לו 13.84 ימי חופשה ו12.5 מחלה במידת הצורך להוסיף בסוף החודש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C1" dT="2026-02-01T12:59:01.21" personId="{496B73EC-4145-4230-B18C-1F9D0118FA11}" id="{DCC42995-354D-4307-9614-EC1E7D0EA8F5}">
    <text>לא ברור לי איפה עבד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E1" dT="2026-02-01T12:59:01.21" personId="{496B73EC-4145-4230-B18C-1F9D0118FA11}" id="{C86F193D-D5D1-4501-93BC-BB2DC62E9A78}">
    <text>לא ברור לי איפה עבד</text>
  </threadedComment>
  <threadedComment ref="H32" dT="2026-02-02T11:40:43.29" personId="{496B73EC-4145-4230-B18C-1F9D0118FA11}" id="{E3384D54-93B4-4DB0-ADCA-8CF25E7C8E98}">
    <text>האם להוריד לו את המחלה? עבר 236 שעות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B1" dT="2026-02-02T10:31:45.61" personId="{496B73EC-4145-4230-B18C-1F9D0118FA11}" id="{FAC3D8CB-3559-4B21-BCDC-C3F93D79D19D}">
    <text xml:space="preserve">אין לו ימי מחלה או חופשה בקושי </text>
  </threadedComment>
  <threadedComment ref="L23" dT="2026-02-02T09:07:59.18" personId="{496B73EC-4145-4230-B18C-1F9D0118FA11}" id="{85C70ABD-E446-42D0-BDC7-17763774F8C8}">
    <text>בכרטיס רשום משש וחצי עד 17:30 - אבל רשמו בסיכום 10.5</text>
  </threadedComment>
</ThreadedComments>
</file>

<file path=xl/threadedComments/threadedComment9.xml><?xml version="1.0" encoding="utf-8"?>
<ThreadedComments xmlns="http://schemas.microsoft.com/office/spreadsheetml/2018/threadedcomments" xmlns:x="http://schemas.openxmlformats.org/spreadsheetml/2006/main">
  <threadedComment ref="C31" dT="2026-02-04T05:50:47.69" personId="{496B73EC-4145-4230-B18C-1F9D0118FA11}" id="{543AD321-4950-48D3-83E9-6A3E8159D606}">
    <text>רשום שעבד אצל אורי?</text>
  </threadedComment>
</ThreadedComment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2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6.xml"/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2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7.xml"/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2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8.xml"/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3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9.xml"/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6DA4A-77D6-4DB8-8920-D68A27D132D7}">
  <dimension ref="A1:I38"/>
  <sheetViews>
    <sheetView rightToLeft="1" workbookViewId="0">
      <pane ySplit="1" topLeftCell="A2" activePane="bottomLeft" state="frozen"/>
      <selection pane="bottomLeft" activeCell="H35" sqref="H35"/>
    </sheetView>
  </sheetViews>
  <sheetFormatPr defaultRowHeight="13.8" x14ac:dyDescent="0.25"/>
  <cols>
    <col min="3" max="3" width="9.19921875" bestFit="1" customWidth="1"/>
    <col min="4" max="4" width="9.69921875" bestFit="1" customWidth="1"/>
    <col min="6" max="6" width="10.19921875" bestFit="1" customWidth="1"/>
    <col min="8" max="8" width="15.19921875" bestFit="1" customWidth="1"/>
    <col min="9" max="9" width="12" bestFit="1" customWidth="1"/>
  </cols>
  <sheetData>
    <row r="1" spans="1:7" x14ac:dyDescent="0.25">
      <c r="A1" t="s">
        <v>0</v>
      </c>
      <c r="B1" t="s">
        <v>172</v>
      </c>
      <c r="C1" t="s">
        <v>174</v>
      </c>
      <c r="D1" t="s">
        <v>176</v>
      </c>
      <c r="E1" t="s">
        <v>178</v>
      </c>
      <c r="F1" t="s">
        <v>180</v>
      </c>
      <c r="G1" t="s">
        <v>182</v>
      </c>
    </row>
    <row r="2" spans="1:7" x14ac:dyDescent="0.25">
      <c r="B2" t="s">
        <v>173</v>
      </c>
      <c r="C2" t="s">
        <v>175</v>
      </c>
      <c r="D2" t="s">
        <v>177</v>
      </c>
      <c r="E2" t="s">
        <v>179</v>
      </c>
      <c r="F2" t="s">
        <v>181</v>
      </c>
      <c r="G2" t="s">
        <v>183</v>
      </c>
    </row>
    <row r="3" spans="1:7" x14ac:dyDescent="0.25">
      <c r="A3">
        <v>1</v>
      </c>
      <c r="B3">
        <v>11</v>
      </c>
      <c r="C3">
        <v>11</v>
      </c>
      <c r="D3">
        <v>11</v>
      </c>
      <c r="E3">
        <v>11</v>
      </c>
      <c r="F3">
        <v>11</v>
      </c>
      <c r="G3">
        <v>11</v>
      </c>
    </row>
    <row r="4" spans="1:7" x14ac:dyDescent="0.25">
      <c r="A4">
        <v>2</v>
      </c>
      <c r="B4">
        <v>7</v>
      </c>
      <c r="C4">
        <v>7</v>
      </c>
      <c r="D4">
        <v>7</v>
      </c>
      <c r="E4">
        <v>7</v>
      </c>
      <c r="F4">
        <v>7</v>
      </c>
      <c r="G4">
        <v>7</v>
      </c>
    </row>
    <row r="5" spans="1:7" x14ac:dyDescent="0.25">
      <c r="A5" t="s">
        <v>1</v>
      </c>
      <c r="B5" t="s">
        <v>8</v>
      </c>
      <c r="C5" t="s">
        <v>8</v>
      </c>
      <c r="D5" t="s">
        <v>8</v>
      </c>
      <c r="E5" t="s">
        <v>8</v>
      </c>
      <c r="F5" t="s">
        <v>8</v>
      </c>
      <c r="G5" t="s">
        <v>8</v>
      </c>
    </row>
    <row r="6" spans="1:7" x14ac:dyDescent="0.25">
      <c r="A6">
        <v>4</v>
      </c>
      <c r="B6">
        <v>11</v>
      </c>
      <c r="C6">
        <v>11</v>
      </c>
      <c r="D6">
        <v>11</v>
      </c>
      <c r="E6">
        <v>11</v>
      </c>
      <c r="F6">
        <v>11</v>
      </c>
      <c r="G6">
        <v>11</v>
      </c>
    </row>
    <row r="7" spans="1:7" x14ac:dyDescent="0.25">
      <c r="A7">
        <v>5</v>
      </c>
      <c r="B7">
        <v>11</v>
      </c>
      <c r="C7">
        <v>11</v>
      </c>
      <c r="D7">
        <v>11</v>
      </c>
      <c r="E7">
        <v>11</v>
      </c>
      <c r="F7">
        <v>11</v>
      </c>
      <c r="G7">
        <v>11</v>
      </c>
    </row>
    <row r="8" spans="1:7" x14ac:dyDescent="0.25">
      <c r="A8">
        <v>6</v>
      </c>
      <c r="B8">
        <v>11</v>
      </c>
      <c r="C8">
        <v>11</v>
      </c>
      <c r="D8">
        <v>11</v>
      </c>
      <c r="E8">
        <v>11</v>
      </c>
      <c r="F8">
        <v>11</v>
      </c>
      <c r="G8">
        <v>11</v>
      </c>
    </row>
    <row r="9" spans="1:7" x14ac:dyDescent="0.25">
      <c r="A9">
        <v>7</v>
      </c>
      <c r="B9">
        <v>11</v>
      </c>
      <c r="C9">
        <v>11</v>
      </c>
      <c r="D9">
        <v>11</v>
      </c>
      <c r="E9">
        <v>11</v>
      </c>
      <c r="F9">
        <v>11</v>
      </c>
      <c r="G9">
        <v>11</v>
      </c>
    </row>
    <row r="10" spans="1:7" x14ac:dyDescent="0.25">
      <c r="A10">
        <v>8</v>
      </c>
      <c r="B10">
        <v>11</v>
      </c>
      <c r="C10">
        <v>11</v>
      </c>
      <c r="D10">
        <v>11</v>
      </c>
      <c r="E10">
        <v>11</v>
      </c>
      <c r="F10">
        <v>11</v>
      </c>
      <c r="G10">
        <v>11</v>
      </c>
    </row>
    <row r="11" spans="1:7" x14ac:dyDescent="0.25">
      <c r="A11">
        <v>9</v>
      </c>
      <c r="B11">
        <v>7</v>
      </c>
      <c r="C11">
        <v>7</v>
      </c>
      <c r="D11">
        <v>7</v>
      </c>
      <c r="E11">
        <v>7</v>
      </c>
      <c r="F11">
        <v>7</v>
      </c>
      <c r="G11">
        <v>7</v>
      </c>
    </row>
    <row r="12" spans="1:7" x14ac:dyDescent="0.25">
      <c r="A12" t="s">
        <v>2</v>
      </c>
      <c r="B12" t="s">
        <v>8</v>
      </c>
      <c r="C12" t="s">
        <v>8</v>
      </c>
      <c r="D12" t="s">
        <v>8</v>
      </c>
      <c r="E12" t="s">
        <v>8</v>
      </c>
      <c r="F12" t="s">
        <v>8</v>
      </c>
      <c r="G12" t="s">
        <v>8</v>
      </c>
    </row>
    <row r="13" spans="1:7" x14ac:dyDescent="0.25">
      <c r="A13">
        <v>11</v>
      </c>
      <c r="B13">
        <v>11</v>
      </c>
      <c r="C13">
        <v>11</v>
      </c>
      <c r="D13">
        <v>11</v>
      </c>
      <c r="E13">
        <v>11</v>
      </c>
      <c r="F13">
        <v>11</v>
      </c>
      <c r="G13">
        <v>11</v>
      </c>
    </row>
    <row r="14" spans="1:7" x14ac:dyDescent="0.25">
      <c r="A14">
        <v>12</v>
      </c>
      <c r="B14">
        <v>11</v>
      </c>
      <c r="C14">
        <v>11</v>
      </c>
      <c r="D14">
        <v>11</v>
      </c>
      <c r="E14">
        <v>11</v>
      </c>
      <c r="F14" t="s">
        <v>41</v>
      </c>
      <c r="G14">
        <v>11</v>
      </c>
    </row>
    <row r="15" spans="1:7" x14ac:dyDescent="0.25">
      <c r="A15">
        <v>13</v>
      </c>
      <c r="B15">
        <v>11</v>
      </c>
      <c r="C15">
        <v>11</v>
      </c>
      <c r="D15">
        <v>11</v>
      </c>
      <c r="E15">
        <v>11</v>
      </c>
      <c r="F15">
        <v>11</v>
      </c>
      <c r="G15">
        <v>11</v>
      </c>
    </row>
    <row r="16" spans="1:7" x14ac:dyDescent="0.25">
      <c r="A16">
        <v>14</v>
      </c>
      <c r="B16">
        <v>11</v>
      </c>
      <c r="C16">
        <v>11</v>
      </c>
      <c r="D16">
        <v>11</v>
      </c>
      <c r="E16">
        <v>11</v>
      </c>
      <c r="F16">
        <v>11</v>
      </c>
      <c r="G16">
        <v>11</v>
      </c>
    </row>
    <row r="17" spans="1:7" x14ac:dyDescent="0.25">
      <c r="A17">
        <v>15</v>
      </c>
      <c r="B17">
        <v>11</v>
      </c>
      <c r="C17">
        <v>11</v>
      </c>
      <c r="D17">
        <v>11</v>
      </c>
      <c r="E17">
        <v>11</v>
      </c>
      <c r="G17">
        <v>11</v>
      </c>
    </row>
    <row r="18" spans="1:7" x14ac:dyDescent="0.25">
      <c r="A18">
        <v>16</v>
      </c>
      <c r="B18">
        <v>7</v>
      </c>
      <c r="C18">
        <v>7</v>
      </c>
      <c r="D18">
        <v>7</v>
      </c>
      <c r="E18">
        <v>7</v>
      </c>
      <c r="F18">
        <v>7</v>
      </c>
      <c r="G18">
        <v>7</v>
      </c>
    </row>
    <row r="19" spans="1:7" x14ac:dyDescent="0.25">
      <c r="A19" t="s">
        <v>3</v>
      </c>
      <c r="B19" t="s">
        <v>8</v>
      </c>
      <c r="C19" t="s">
        <v>8</v>
      </c>
      <c r="D19" t="s">
        <v>8</v>
      </c>
      <c r="E19" t="s">
        <v>8</v>
      </c>
      <c r="F19" t="s">
        <v>8</v>
      </c>
      <c r="G19" t="s">
        <v>8</v>
      </c>
    </row>
    <row r="20" spans="1:7" x14ac:dyDescent="0.25">
      <c r="A20">
        <v>18</v>
      </c>
      <c r="B20">
        <v>11</v>
      </c>
      <c r="C20">
        <v>11</v>
      </c>
      <c r="D20">
        <v>11</v>
      </c>
      <c r="E20">
        <v>11</v>
      </c>
      <c r="F20">
        <v>11</v>
      </c>
      <c r="G20">
        <v>11</v>
      </c>
    </row>
    <row r="21" spans="1:7" x14ac:dyDescent="0.25">
      <c r="A21">
        <v>19</v>
      </c>
      <c r="B21">
        <v>11</v>
      </c>
      <c r="C21">
        <v>11</v>
      </c>
      <c r="D21">
        <v>11</v>
      </c>
      <c r="E21">
        <v>11</v>
      </c>
      <c r="F21">
        <v>11</v>
      </c>
      <c r="G21">
        <v>11</v>
      </c>
    </row>
    <row r="22" spans="1:7" x14ac:dyDescent="0.25">
      <c r="A22">
        <v>20</v>
      </c>
      <c r="B22">
        <v>11</v>
      </c>
      <c r="C22">
        <v>11</v>
      </c>
      <c r="D22">
        <v>11</v>
      </c>
      <c r="E22">
        <v>11</v>
      </c>
      <c r="F22">
        <v>11</v>
      </c>
      <c r="G22">
        <v>11</v>
      </c>
    </row>
    <row r="23" spans="1:7" x14ac:dyDescent="0.25">
      <c r="A23">
        <v>21</v>
      </c>
      <c r="B23">
        <v>11</v>
      </c>
      <c r="C23">
        <v>11</v>
      </c>
      <c r="D23">
        <v>11</v>
      </c>
      <c r="E23">
        <v>11</v>
      </c>
      <c r="F23">
        <v>11</v>
      </c>
      <c r="G23">
        <v>11</v>
      </c>
    </row>
    <row r="24" spans="1:7" x14ac:dyDescent="0.25">
      <c r="A24">
        <v>22</v>
      </c>
      <c r="B24">
        <v>11</v>
      </c>
      <c r="C24">
        <v>11</v>
      </c>
      <c r="D24">
        <v>11</v>
      </c>
      <c r="E24">
        <v>11</v>
      </c>
      <c r="F24">
        <v>11</v>
      </c>
      <c r="G24">
        <v>11</v>
      </c>
    </row>
    <row r="25" spans="1:7" x14ac:dyDescent="0.25">
      <c r="A25">
        <v>23</v>
      </c>
      <c r="B25">
        <v>7</v>
      </c>
      <c r="C25">
        <v>7</v>
      </c>
      <c r="E25">
        <v>7</v>
      </c>
    </row>
    <row r="26" spans="1:7" x14ac:dyDescent="0.25">
      <c r="A26" t="s">
        <v>4</v>
      </c>
      <c r="B26" t="s">
        <v>8</v>
      </c>
      <c r="C26" t="s">
        <v>8</v>
      </c>
      <c r="D26" t="s">
        <v>8</v>
      </c>
      <c r="E26" t="s">
        <v>8</v>
      </c>
      <c r="F26" t="s">
        <v>8</v>
      </c>
      <c r="G26" t="s">
        <v>8</v>
      </c>
    </row>
    <row r="27" spans="1:7" x14ac:dyDescent="0.25">
      <c r="A27">
        <v>25</v>
      </c>
      <c r="B27">
        <v>11</v>
      </c>
      <c r="C27">
        <v>11</v>
      </c>
      <c r="E27">
        <v>11</v>
      </c>
      <c r="F27">
        <v>11</v>
      </c>
      <c r="G27">
        <v>11</v>
      </c>
    </row>
    <row r="28" spans="1:7" x14ac:dyDescent="0.25">
      <c r="A28">
        <v>26</v>
      </c>
      <c r="B28">
        <v>11</v>
      </c>
      <c r="C28">
        <v>11</v>
      </c>
      <c r="D28">
        <v>11</v>
      </c>
      <c r="E28">
        <v>11</v>
      </c>
      <c r="F28">
        <v>11</v>
      </c>
      <c r="G28">
        <v>11</v>
      </c>
    </row>
    <row r="29" spans="1:7" x14ac:dyDescent="0.25">
      <c r="A29">
        <v>27</v>
      </c>
      <c r="B29">
        <v>11</v>
      </c>
      <c r="C29">
        <v>11</v>
      </c>
      <c r="D29">
        <v>11</v>
      </c>
      <c r="E29">
        <v>11</v>
      </c>
      <c r="F29">
        <v>11</v>
      </c>
      <c r="G29">
        <v>11</v>
      </c>
    </row>
    <row r="30" spans="1:7" x14ac:dyDescent="0.25">
      <c r="A30">
        <v>28</v>
      </c>
      <c r="B30" s="10" t="s">
        <v>41</v>
      </c>
      <c r="C30">
        <v>11</v>
      </c>
      <c r="D30">
        <v>11</v>
      </c>
      <c r="E30">
        <v>11</v>
      </c>
      <c r="F30">
        <v>11</v>
      </c>
      <c r="G30">
        <v>11</v>
      </c>
    </row>
    <row r="31" spans="1:7" x14ac:dyDescent="0.25">
      <c r="A31">
        <v>29</v>
      </c>
      <c r="B31" s="10" t="s">
        <v>41</v>
      </c>
      <c r="C31">
        <v>11</v>
      </c>
      <c r="D31">
        <v>11</v>
      </c>
      <c r="E31">
        <v>11</v>
      </c>
      <c r="F31">
        <v>10</v>
      </c>
      <c r="G31">
        <v>10</v>
      </c>
    </row>
    <row r="32" spans="1:7" x14ac:dyDescent="0.25">
      <c r="A32">
        <v>30</v>
      </c>
      <c r="B32">
        <v>7</v>
      </c>
      <c r="C32">
        <v>7</v>
      </c>
      <c r="D32">
        <v>7</v>
      </c>
      <c r="E32">
        <v>7</v>
      </c>
    </row>
    <row r="33" spans="1:9" x14ac:dyDescent="0.25">
      <c r="A33" t="s">
        <v>5</v>
      </c>
      <c r="B33" t="s">
        <v>8</v>
      </c>
      <c r="C33" t="s">
        <v>8</v>
      </c>
      <c r="D33" t="s">
        <v>8</v>
      </c>
      <c r="E33" t="s">
        <v>8</v>
      </c>
      <c r="F33" t="s">
        <v>8</v>
      </c>
      <c r="G33" t="s">
        <v>8</v>
      </c>
      <c r="H33" s="13" t="s">
        <v>259</v>
      </c>
    </row>
    <row r="34" spans="1:9" x14ac:dyDescent="0.25">
      <c r="A34" s="14" t="s">
        <v>6</v>
      </c>
      <c r="B34" s="14">
        <f>SUM(B3:B33)</f>
        <v>244</v>
      </c>
      <c r="C34" s="14">
        <f>SUM(C3:C33)</f>
        <v>266</v>
      </c>
      <c r="D34" s="14">
        <f t="shared" ref="D34:G34" si="0">SUM(D3:D33)</f>
        <v>248</v>
      </c>
      <c r="E34" s="14">
        <f t="shared" si="0"/>
        <v>266</v>
      </c>
      <c r="F34" s="14">
        <f t="shared" si="0"/>
        <v>229</v>
      </c>
      <c r="G34" s="14">
        <f t="shared" si="0"/>
        <v>251</v>
      </c>
      <c r="H34" s="13">
        <f>SUM(B34:G34)</f>
        <v>1504</v>
      </c>
    </row>
    <row r="36" spans="1:9" x14ac:dyDescent="0.25">
      <c r="H36" s="16" t="s">
        <v>279</v>
      </c>
      <c r="I36" s="16" t="s">
        <v>268</v>
      </c>
    </row>
    <row r="37" spans="1:9" x14ac:dyDescent="0.25">
      <c r="H37" s="16">
        <f>H34*78</f>
        <v>117312</v>
      </c>
      <c r="I37" s="16" t="s">
        <v>269</v>
      </c>
    </row>
    <row r="38" spans="1:9" x14ac:dyDescent="0.25">
      <c r="H38" s="16">
        <f>H37*1.18</f>
        <v>138428.16</v>
      </c>
      <c r="I38" s="16" t="s">
        <v>270</v>
      </c>
    </row>
  </sheetData>
  <conditionalFormatting sqref="A1:XFD1">
    <cfRule type="duplicateValues" dxfId="23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AF857-FAFE-4EEA-9825-BFD052F3E5BE}">
  <dimension ref="A1:E38"/>
  <sheetViews>
    <sheetView rightToLeft="1" topLeftCell="A10" workbookViewId="0">
      <selection activeCell="D35" sqref="D35"/>
    </sheetView>
  </sheetViews>
  <sheetFormatPr defaultRowHeight="13.8" x14ac:dyDescent="0.25"/>
  <cols>
    <col min="4" max="4" width="15.19921875" bestFit="1" customWidth="1"/>
    <col min="5" max="5" width="12" bestFit="1" customWidth="1"/>
  </cols>
  <sheetData>
    <row r="1" spans="1:3" x14ac:dyDescent="0.25">
      <c r="A1" t="s">
        <v>0</v>
      </c>
      <c r="B1" t="s">
        <v>147</v>
      </c>
      <c r="C1" t="s">
        <v>148</v>
      </c>
    </row>
    <row r="2" spans="1:3" x14ac:dyDescent="0.25">
      <c r="B2" t="s">
        <v>70</v>
      </c>
      <c r="C2" t="s">
        <v>76</v>
      </c>
    </row>
    <row r="3" spans="1:3" x14ac:dyDescent="0.25">
      <c r="A3">
        <v>1</v>
      </c>
      <c r="B3">
        <v>11</v>
      </c>
      <c r="C3">
        <v>11</v>
      </c>
    </row>
    <row r="4" spans="1:3" x14ac:dyDescent="0.25">
      <c r="A4">
        <v>2</v>
      </c>
      <c r="B4">
        <v>7</v>
      </c>
      <c r="C4">
        <v>7</v>
      </c>
    </row>
    <row r="5" spans="1:3" x14ac:dyDescent="0.25">
      <c r="A5" t="s">
        <v>1</v>
      </c>
      <c r="B5" t="s">
        <v>8</v>
      </c>
      <c r="C5" t="s">
        <v>8</v>
      </c>
    </row>
    <row r="6" spans="1:3" x14ac:dyDescent="0.25">
      <c r="A6">
        <v>4</v>
      </c>
      <c r="B6">
        <v>11</v>
      </c>
      <c r="C6">
        <v>11</v>
      </c>
    </row>
    <row r="7" spans="1:3" x14ac:dyDescent="0.25">
      <c r="A7">
        <v>5</v>
      </c>
      <c r="B7">
        <v>11</v>
      </c>
      <c r="C7">
        <v>11</v>
      </c>
    </row>
    <row r="8" spans="1:3" x14ac:dyDescent="0.25">
      <c r="A8">
        <v>6</v>
      </c>
      <c r="B8">
        <v>11</v>
      </c>
      <c r="C8">
        <v>11</v>
      </c>
    </row>
    <row r="9" spans="1:3" x14ac:dyDescent="0.25">
      <c r="A9">
        <v>7</v>
      </c>
      <c r="B9">
        <v>11</v>
      </c>
      <c r="C9">
        <v>11</v>
      </c>
    </row>
    <row r="10" spans="1:3" x14ac:dyDescent="0.25">
      <c r="A10">
        <v>8</v>
      </c>
      <c r="B10">
        <v>11</v>
      </c>
      <c r="C10">
        <v>11</v>
      </c>
    </row>
    <row r="11" spans="1:3" x14ac:dyDescent="0.25">
      <c r="A11">
        <v>9</v>
      </c>
      <c r="B11">
        <v>7</v>
      </c>
      <c r="C11">
        <v>7</v>
      </c>
    </row>
    <row r="12" spans="1:3" x14ac:dyDescent="0.25">
      <c r="A12" t="s">
        <v>2</v>
      </c>
      <c r="B12" t="s">
        <v>8</v>
      </c>
      <c r="C12" t="s">
        <v>8</v>
      </c>
    </row>
    <row r="13" spans="1:3" x14ac:dyDescent="0.25">
      <c r="A13">
        <v>11</v>
      </c>
      <c r="B13">
        <v>11</v>
      </c>
      <c r="C13">
        <v>11</v>
      </c>
    </row>
    <row r="14" spans="1:3" x14ac:dyDescent="0.25">
      <c r="A14">
        <v>12</v>
      </c>
      <c r="B14">
        <v>11</v>
      </c>
      <c r="C14">
        <v>11</v>
      </c>
    </row>
    <row r="15" spans="1:3" x14ac:dyDescent="0.25">
      <c r="A15">
        <v>13</v>
      </c>
      <c r="B15">
        <v>11</v>
      </c>
      <c r="C15" t="s">
        <v>74</v>
      </c>
    </row>
    <row r="16" spans="1:3" x14ac:dyDescent="0.25">
      <c r="A16">
        <v>14</v>
      </c>
      <c r="B16">
        <v>11</v>
      </c>
      <c r="C16">
        <v>11</v>
      </c>
    </row>
    <row r="17" spans="1:3" x14ac:dyDescent="0.25">
      <c r="A17">
        <v>15</v>
      </c>
      <c r="B17">
        <v>11</v>
      </c>
      <c r="C17">
        <v>11</v>
      </c>
    </row>
    <row r="18" spans="1:3" x14ac:dyDescent="0.25">
      <c r="A18">
        <v>16</v>
      </c>
      <c r="B18">
        <v>7</v>
      </c>
      <c r="C18">
        <v>7</v>
      </c>
    </row>
    <row r="19" spans="1:3" x14ac:dyDescent="0.25">
      <c r="A19" t="s">
        <v>3</v>
      </c>
      <c r="B19" t="s">
        <v>8</v>
      </c>
      <c r="C19" t="s">
        <v>8</v>
      </c>
    </row>
    <row r="20" spans="1:3" x14ac:dyDescent="0.25">
      <c r="A20">
        <v>18</v>
      </c>
      <c r="B20">
        <v>11</v>
      </c>
      <c r="C20">
        <v>11</v>
      </c>
    </row>
    <row r="21" spans="1:3" x14ac:dyDescent="0.25">
      <c r="A21">
        <v>19</v>
      </c>
      <c r="B21">
        <v>11</v>
      </c>
      <c r="C21">
        <v>11</v>
      </c>
    </row>
    <row r="22" spans="1:3" x14ac:dyDescent="0.25">
      <c r="A22">
        <v>20</v>
      </c>
      <c r="B22">
        <v>11</v>
      </c>
      <c r="C22">
        <v>11</v>
      </c>
    </row>
    <row r="23" spans="1:3" x14ac:dyDescent="0.25">
      <c r="A23">
        <v>21</v>
      </c>
      <c r="B23">
        <v>11</v>
      </c>
      <c r="C23">
        <v>11</v>
      </c>
    </row>
    <row r="24" spans="1:3" x14ac:dyDescent="0.25">
      <c r="A24">
        <v>22</v>
      </c>
      <c r="B24">
        <v>11</v>
      </c>
      <c r="C24">
        <v>11</v>
      </c>
    </row>
    <row r="25" spans="1:3" x14ac:dyDescent="0.25">
      <c r="A25">
        <v>23</v>
      </c>
      <c r="B25">
        <v>7</v>
      </c>
      <c r="C25">
        <v>7</v>
      </c>
    </row>
    <row r="26" spans="1:3" x14ac:dyDescent="0.25">
      <c r="A26" t="s">
        <v>4</v>
      </c>
      <c r="B26" t="s">
        <v>8</v>
      </c>
      <c r="C26" t="s">
        <v>8</v>
      </c>
    </row>
    <row r="27" spans="1:3" x14ac:dyDescent="0.25">
      <c r="A27">
        <v>25</v>
      </c>
      <c r="B27">
        <v>11</v>
      </c>
      <c r="C27">
        <v>11</v>
      </c>
    </row>
    <row r="28" spans="1:3" x14ac:dyDescent="0.25">
      <c r="A28">
        <v>26</v>
      </c>
      <c r="B28">
        <v>11</v>
      </c>
      <c r="C28">
        <v>11</v>
      </c>
    </row>
    <row r="29" spans="1:3" x14ac:dyDescent="0.25">
      <c r="A29">
        <v>27</v>
      </c>
      <c r="B29">
        <v>11</v>
      </c>
      <c r="C29">
        <v>11</v>
      </c>
    </row>
    <row r="30" spans="1:3" x14ac:dyDescent="0.25">
      <c r="A30">
        <v>28</v>
      </c>
      <c r="B30">
        <v>11</v>
      </c>
      <c r="C30">
        <v>11</v>
      </c>
    </row>
    <row r="31" spans="1:3" x14ac:dyDescent="0.25">
      <c r="A31">
        <v>29</v>
      </c>
      <c r="B31">
        <v>11</v>
      </c>
      <c r="C31">
        <v>11</v>
      </c>
    </row>
    <row r="32" spans="1:3" x14ac:dyDescent="0.25">
      <c r="A32">
        <v>30</v>
      </c>
      <c r="B32">
        <v>7</v>
      </c>
      <c r="C32">
        <v>7</v>
      </c>
    </row>
    <row r="33" spans="1:5" x14ac:dyDescent="0.25">
      <c r="A33" t="s">
        <v>5</v>
      </c>
      <c r="B33" t="s">
        <v>8</v>
      </c>
      <c r="C33" t="s">
        <v>8</v>
      </c>
      <c r="D33" s="13" t="s">
        <v>259</v>
      </c>
    </row>
    <row r="34" spans="1:5" x14ac:dyDescent="0.25">
      <c r="A34" s="14" t="s">
        <v>6</v>
      </c>
      <c r="B34" s="14">
        <f>SUM(B3:B33)</f>
        <v>266</v>
      </c>
      <c r="C34" s="14">
        <f>SUM(C3:C33)</f>
        <v>255</v>
      </c>
      <c r="D34" s="13">
        <f>SUM(B34:C34)</f>
        <v>521</v>
      </c>
    </row>
    <row r="36" spans="1:5" x14ac:dyDescent="0.25">
      <c r="D36" s="16" t="s">
        <v>279</v>
      </c>
      <c r="E36" s="16" t="s">
        <v>268</v>
      </c>
    </row>
    <row r="37" spans="1:5" x14ac:dyDescent="0.25">
      <c r="D37" s="16">
        <f>D34*78</f>
        <v>40638</v>
      </c>
      <c r="E37" s="16" t="s">
        <v>269</v>
      </c>
    </row>
    <row r="38" spans="1:5" x14ac:dyDescent="0.25">
      <c r="D38" s="16">
        <f>D37*1.18</f>
        <v>47952.84</v>
      </c>
      <c r="E38" s="16" t="s">
        <v>270</v>
      </c>
    </row>
  </sheetData>
  <conditionalFormatting sqref="A1:XFD1">
    <cfRule type="duplicateValues" dxfId="22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944DE-3AC6-4C06-BEC2-B66E10C5AEE0}">
  <dimension ref="A1:E38"/>
  <sheetViews>
    <sheetView rightToLeft="1" topLeftCell="A7" workbookViewId="0">
      <selection activeCell="D35" sqref="D35"/>
    </sheetView>
  </sheetViews>
  <sheetFormatPr defaultRowHeight="13.8" x14ac:dyDescent="0.25"/>
  <cols>
    <col min="4" max="4" width="15.19921875" bestFit="1" customWidth="1"/>
    <col min="5" max="5" width="12" bestFit="1" customWidth="1"/>
  </cols>
  <sheetData>
    <row r="1" spans="1:3" x14ac:dyDescent="0.25">
      <c r="A1" t="s">
        <v>0</v>
      </c>
      <c r="B1" t="s">
        <v>130</v>
      </c>
      <c r="C1" t="s">
        <v>132</v>
      </c>
    </row>
    <row r="2" spans="1:3" x14ac:dyDescent="0.25">
      <c r="B2" t="s">
        <v>131</v>
      </c>
      <c r="C2" t="s">
        <v>133</v>
      </c>
    </row>
    <row r="3" spans="1:3" x14ac:dyDescent="0.25">
      <c r="A3">
        <v>1</v>
      </c>
      <c r="B3">
        <v>11</v>
      </c>
      <c r="C3">
        <v>11</v>
      </c>
    </row>
    <row r="4" spans="1:3" x14ac:dyDescent="0.25">
      <c r="A4">
        <v>2</v>
      </c>
      <c r="B4">
        <v>7</v>
      </c>
      <c r="C4" t="s">
        <v>41</v>
      </c>
    </row>
    <row r="5" spans="1:3" x14ac:dyDescent="0.25">
      <c r="A5" t="s">
        <v>1</v>
      </c>
      <c r="B5" t="s">
        <v>8</v>
      </c>
      <c r="C5" t="s">
        <v>8</v>
      </c>
    </row>
    <row r="6" spans="1:3" x14ac:dyDescent="0.25">
      <c r="A6">
        <v>4</v>
      </c>
      <c r="B6">
        <v>11</v>
      </c>
      <c r="C6" t="s">
        <v>41</v>
      </c>
    </row>
    <row r="7" spans="1:3" x14ac:dyDescent="0.25">
      <c r="A7">
        <v>5</v>
      </c>
      <c r="B7">
        <v>11</v>
      </c>
      <c r="C7">
        <v>11</v>
      </c>
    </row>
    <row r="8" spans="1:3" x14ac:dyDescent="0.25">
      <c r="A8">
        <v>6</v>
      </c>
      <c r="B8">
        <v>11</v>
      </c>
      <c r="C8">
        <v>11</v>
      </c>
    </row>
    <row r="9" spans="1:3" x14ac:dyDescent="0.25">
      <c r="A9">
        <v>7</v>
      </c>
      <c r="B9">
        <v>11</v>
      </c>
      <c r="C9">
        <v>3</v>
      </c>
    </row>
    <row r="10" spans="1:3" x14ac:dyDescent="0.25">
      <c r="A10">
        <v>8</v>
      </c>
      <c r="B10">
        <v>11</v>
      </c>
      <c r="C10" t="s">
        <v>41</v>
      </c>
    </row>
    <row r="11" spans="1:3" x14ac:dyDescent="0.25">
      <c r="A11">
        <v>9</v>
      </c>
      <c r="B11">
        <v>7</v>
      </c>
      <c r="C11" t="s">
        <v>41</v>
      </c>
    </row>
    <row r="12" spans="1:3" x14ac:dyDescent="0.25">
      <c r="A12" t="s">
        <v>2</v>
      </c>
      <c r="B12" t="s">
        <v>8</v>
      </c>
      <c r="C12" t="s">
        <v>8</v>
      </c>
    </row>
    <row r="13" spans="1:3" x14ac:dyDescent="0.25">
      <c r="A13">
        <v>11</v>
      </c>
      <c r="B13">
        <v>11</v>
      </c>
      <c r="C13" t="s">
        <v>41</v>
      </c>
    </row>
    <row r="14" spans="1:3" x14ac:dyDescent="0.25">
      <c r="A14">
        <v>12</v>
      </c>
      <c r="B14">
        <v>11</v>
      </c>
      <c r="C14" t="s">
        <v>41</v>
      </c>
    </row>
    <row r="15" spans="1:3" x14ac:dyDescent="0.25">
      <c r="A15">
        <v>13</v>
      </c>
      <c r="B15">
        <v>11</v>
      </c>
      <c r="C15" t="s">
        <v>41</v>
      </c>
    </row>
    <row r="16" spans="1:3" x14ac:dyDescent="0.25">
      <c r="A16">
        <v>14</v>
      </c>
      <c r="B16">
        <v>11</v>
      </c>
      <c r="C16" t="s">
        <v>41</v>
      </c>
    </row>
    <row r="17" spans="1:3" x14ac:dyDescent="0.25">
      <c r="A17">
        <v>15</v>
      </c>
      <c r="B17">
        <v>11</v>
      </c>
      <c r="C17" t="s">
        <v>41</v>
      </c>
    </row>
    <row r="18" spans="1:3" x14ac:dyDescent="0.25">
      <c r="A18">
        <v>16</v>
      </c>
      <c r="B18">
        <v>7</v>
      </c>
      <c r="C18" t="s">
        <v>41</v>
      </c>
    </row>
    <row r="19" spans="1:3" x14ac:dyDescent="0.25">
      <c r="A19" t="s">
        <v>3</v>
      </c>
      <c r="B19" t="s">
        <v>8</v>
      </c>
      <c r="C19" t="s">
        <v>8</v>
      </c>
    </row>
    <row r="20" spans="1:3" x14ac:dyDescent="0.25">
      <c r="A20">
        <v>18</v>
      </c>
      <c r="B20">
        <v>11</v>
      </c>
      <c r="C20">
        <v>11</v>
      </c>
    </row>
    <row r="21" spans="1:3" x14ac:dyDescent="0.25">
      <c r="A21">
        <v>19</v>
      </c>
      <c r="B21">
        <v>11</v>
      </c>
      <c r="C21">
        <v>11</v>
      </c>
    </row>
    <row r="22" spans="1:3" x14ac:dyDescent="0.25">
      <c r="A22">
        <v>20</v>
      </c>
      <c r="B22">
        <v>11</v>
      </c>
      <c r="C22">
        <v>11</v>
      </c>
    </row>
    <row r="23" spans="1:3" x14ac:dyDescent="0.25">
      <c r="A23">
        <v>21</v>
      </c>
      <c r="B23">
        <v>11</v>
      </c>
      <c r="C23">
        <v>11</v>
      </c>
    </row>
    <row r="24" spans="1:3" x14ac:dyDescent="0.25">
      <c r="A24">
        <v>22</v>
      </c>
      <c r="B24">
        <v>11</v>
      </c>
      <c r="C24">
        <v>11</v>
      </c>
    </row>
    <row r="25" spans="1:3" x14ac:dyDescent="0.25">
      <c r="A25">
        <v>23</v>
      </c>
      <c r="B25">
        <v>7</v>
      </c>
      <c r="C25">
        <v>7</v>
      </c>
    </row>
    <row r="26" spans="1:3" x14ac:dyDescent="0.25">
      <c r="A26" t="s">
        <v>4</v>
      </c>
      <c r="B26" t="s">
        <v>8</v>
      </c>
      <c r="C26" t="s">
        <v>8</v>
      </c>
    </row>
    <row r="27" spans="1:3" x14ac:dyDescent="0.25">
      <c r="A27">
        <v>25</v>
      </c>
      <c r="B27">
        <v>11</v>
      </c>
      <c r="C27">
        <v>11</v>
      </c>
    </row>
    <row r="28" spans="1:3" x14ac:dyDescent="0.25">
      <c r="A28">
        <v>26</v>
      </c>
      <c r="B28">
        <v>11</v>
      </c>
      <c r="C28">
        <v>11</v>
      </c>
    </row>
    <row r="29" spans="1:3" x14ac:dyDescent="0.25">
      <c r="A29">
        <v>27</v>
      </c>
      <c r="B29">
        <v>11</v>
      </c>
      <c r="C29">
        <v>11</v>
      </c>
    </row>
    <row r="30" spans="1:3" x14ac:dyDescent="0.25">
      <c r="A30">
        <v>28</v>
      </c>
      <c r="B30">
        <v>11</v>
      </c>
      <c r="C30">
        <v>11</v>
      </c>
    </row>
    <row r="31" spans="1:3" x14ac:dyDescent="0.25">
      <c r="A31">
        <v>29</v>
      </c>
      <c r="B31">
        <v>11</v>
      </c>
      <c r="C31">
        <v>11</v>
      </c>
    </row>
    <row r="32" spans="1:3" x14ac:dyDescent="0.25">
      <c r="A32">
        <v>30</v>
      </c>
      <c r="B32">
        <v>7</v>
      </c>
      <c r="C32">
        <v>7</v>
      </c>
    </row>
    <row r="33" spans="1:5" x14ac:dyDescent="0.25">
      <c r="A33" t="s">
        <v>5</v>
      </c>
      <c r="B33" t="s">
        <v>8</v>
      </c>
      <c r="C33" t="s">
        <v>8</v>
      </c>
      <c r="D33" s="13" t="s">
        <v>259</v>
      </c>
    </row>
    <row r="34" spans="1:5" x14ac:dyDescent="0.25">
      <c r="A34" s="14" t="s">
        <v>6</v>
      </c>
      <c r="B34" s="14">
        <f>SUM(B3:B33)</f>
        <v>266</v>
      </c>
      <c r="C34" s="14">
        <f>SUM(C3:C33)</f>
        <v>160</v>
      </c>
      <c r="D34" s="13">
        <f>SUM(B34:C34)</f>
        <v>426</v>
      </c>
    </row>
    <row r="36" spans="1:5" x14ac:dyDescent="0.25">
      <c r="D36" s="16" t="s">
        <v>279</v>
      </c>
      <c r="E36" s="16" t="s">
        <v>268</v>
      </c>
    </row>
    <row r="37" spans="1:5" x14ac:dyDescent="0.25">
      <c r="D37" s="16">
        <f>D34*78</f>
        <v>33228</v>
      </c>
      <c r="E37" s="16" t="s">
        <v>269</v>
      </c>
    </row>
    <row r="38" spans="1:5" x14ac:dyDescent="0.25">
      <c r="D38" s="16">
        <f>D37*1.18</f>
        <v>39209.040000000001</v>
      </c>
      <c r="E38" s="16" t="s">
        <v>270</v>
      </c>
    </row>
  </sheetData>
  <conditionalFormatting sqref="A1:XFD1">
    <cfRule type="duplicateValues" dxfId="21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879D3-7182-452B-A583-E5D30204CC89}">
  <sheetPr>
    <tabColor theme="6" tint="0.79998168889431442"/>
  </sheetPr>
  <dimension ref="A1:E34"/>
  <sheetViews>
    <sheetView rightToLeft="1" topLeftCell="A19" workbookViewId="0">
      <selection activeCell="E1" sqref="E1"/>
    </sheetView>
  </sheetViews>
  <sheetFormatPr defaultRowHeight="13.8" x14ac:dyDescent="0.25"/>
  <sheetData>
    <row r="1" spans="1:5" x14ac:dyDescent="0.25">
      <c r="A1" t="s">
        <v>0</v>
      </c>
      <c r="B1" t="s">
        <v>208</v>
      </c>
      <c r="C1" t="s">
        <v>9</v>
      </c>
      <c r="D1" t="s">
        <v>11</v>
      </c>
      <c r="E1" t="s">
        <v>13</v>
      </c>
    </row>
    <row r="2" spans="1:5" x14ac:dyDescent="0.25">
      <c r="B2" t="s">
        <v>7</v>
      </c>
      <c r="C2" t="s">
        <v>10</v>
      </c>
      <c r="D2" t="s">
        <v>12</v>
      </c>
      <c r="E2" t="s">
        <v>14</v>
      </c>
    </row>
    <row r="3" spans="1:5" x14ac:dyDescent="0.25">
      <c r="A3">
        <v>1</v>
      </c>
      <c r="B3">
        <v>10</v>
      </c>
      <c r="C3">
        <v>10</v>
      </c>
      <c r="D3">
        <v>10</v>
      </c>
      <c r="E3">
        <v>10</v>
      </c>
    </row>
    <row r="4" spans="1:5" x14ac:dyDescent="0.25">
      <c r="A4">
        <v>2</v>
      </c>
      <c r="B4">
        <v>6</v>
      </c>
      <c r="C4">
        <v>6</v>
      </c>
      <c r="D4">
        <v>6</v>
      </c>
      <c r="E4">
        <v>6</v>
      </c>
    </row>
    <row r="5" spans="1:5" x14ac:dyDescent="0.25">
      <c r="A5" t="s">
        <v>1</v>
      </c>
      <c r="B5" t="s">
        <v>8</v>
      </c>
      <c r="C5" t="s">
        <v>8</v>
      </c>
      <c r="D5" t="s">
        <v>8</v>
      </c>
      <c r="E5" t="s">
        <v>8</v>
      </c>
    </row>
    <row r="6" spans="1:5" x14ac:dyDescent="0.25">
      <c r="A6">
        <v>4</v>
      </c>
      <c r="B6">
        <v>10</v>
      </c>
      <c r="C6">
        <v>10</v>
      </c>
      <c r="D6">
        <v>10</v>
      </c>
      <c r="E6">
        <v>10</v>
      </c>
    </row>
    <row r="7" spans="1:5" x14ac:dyDescent="0.25">
      <c r="A7">
        <v>5</v>
      </c>
      <c r="B7">
        <v>11</v>
      </c>
      <c r="C7">
        <v>10</v>
      </c>
      <c r="D7">
        <v>10</v>
      </c>
      <c r="E7">
        <v>10</v>
      </c>
    </row>
    <row r="8" spans="1:5" x14ac:dyDescent="0.25">
      <c r="A8">
        <v>6</v>
      </c>
      <c r="B8">
        <v>11</v>
      </c>
      <c r="C8">
        <v>10</v>
      </c>
      <c r="D8">
        <v>10</v>
      </c>
      <c r="E8">
        <v>10</v>
      </c>
    </row>
    <row r="9" spans="1:5" x14ac:dyDescent="0.25">
      <c r="A9">
        <v>7</v>
      </c>
      <c r="B9">
        <v>10</v>
      </c>
      <c r="C9">
        <v>10</v>
      </c>
      <c r="D9">
        <v>10</v>
      </c>
      <c r="E9">
        <v>10</v>
      </c>
    </row>
    <row r="10" spans="1:5" x14ac:dyDescent="0.25">
      <c r="A10">
        <v>8</v>
      </c>
      <c r="B10">
        <v>10</v>
      </c>
      <c r="C10">
        <v>10</v>
      </c>
      <c r="D10">
        <v>10</v>
      </c>
      <c r="E10">
        <v>10</v>
      </c>
    </row>
    <row r="11" spans="1:5" x14ac:dyDescent="0.25">
      <c r="A11">
        <v>9</v>
      </c>
      <c r="B11">
        <v>7</v>
      </c>
      <c r="C11">
        <v>7</v>
      </c>
      <c r="D11">
        <v>7</v>
      </c>
      <c r="E11">
        <v>7</v>
      </c>
    </row>
    <row r="12" spans="1:5" x14ac:dyDescent="0.25">
      <c r="A12" t="s">
        <v>2</v>
      </c>
      <c r="B12" t="s">
        <v>8</v>
      </c>
      <c r="C12" t="s">
        <v>8</v>
      </c>
      <c r="D12" t="s">
        <v>8</v>
      </c>
      <c r="E12" t="s">
        <v>8</v>
      </c>
    </row>
    <row r="13" spans="1:5" x14ac:dyDescent="0.25">
      <c r="A13">
        <v>11</v>
      </c>
      <c r="B13">
        <v>10</v>
      </c>
      <c r="C13">
        <v>10</v>
      </c>
      <c r="D13">
        <v>10</v>
      </c>
      <c r="E13">
        <v>10</v>
      </c>
    </row>
    <row r="14" spans="1:5" x14ac:dyDescent="0.25">
      <c r="A14">
        <v>12</v>
      </c>
      <c r="B14">
        <v>10</v>
      </c>
      <c r="C14">
        <v>10</v>
      </c>
      <c r="D14">
        <v>10</v>
      </c>
      <c r="E14">
        <v>10</v>
      </c>
    </row>
    <row r="15" spans="1:5" x14ac:dyDescent="0.25">
      <c r="A15">
        <v>13</v>
      </c>
      <c r="B15">
        <v>10</v>
      </c>
      <c r="C15">
        <v>10</v>
      </c>
      <c r="D15">
        <v>10</v>
      </c>
      <c r="E15">
        <v>10</v>
      </c>
    </row>
    <row r="16" spans="1:5" x14ac:dyDescent="0.25">
      <c r="A16">
        <v>14</v>
      </c>
      <c r="B16">
        <v>10</v>
      </c>
      <c r="C16">
        <v>10</v>
      </c>
      <c r="D16">
        <v>10</v>
      </c>
      <c r="E16">
        <v>10</v>
      </c>
    </row>
    <row r="17" spans="1:5" x14ac:dyDescent="0.25">
      <c r="A17">
        <v>15</v>
      </c>
      <c r="B17">
        <v>10</v>
      </c>
      <c r="C17">
        <v>10</v>
      </c>
      <c r="D17">
        <v>10</v>
      </c>
      <c r="E17">
        <v>10</v>
      </c>
    </row>
    <row r="18" spans="1:5" x14ac:dyDescent="0.25">
      <c r="A18">
        <v>16</v>
      </c>
      <c r="B18">
        <v>6</v>
      </c>
      <c r="C18">
        <v>6</v>
      </c>
      <c r="D18">
        <v>6</v>
      </c>
      <c r="E18">
        <v>6</v>
      </c>
    </row>
    <row r="19" spans="1:5" x14ac:dyDescent="0.25">
      <c r="A19" t="s">
        <v>3</v>
      </c>
      <c r="B19" t="s">
        <v>8</v>
      </c>
      <c r="C19" t="s">
        <v>8</v>
      </c>
      <c r="D19" t="s">
        <v>8</v>
      </c>
      <c r="E19" t="s">
        <v>8</v>
      </c>
    </row>
    <row r="20" spans="1:5" x14ac:dyDescent="0.25">
      <c r="A20">
        <v>18</v>
      </c>
      <c r="B20">
        <v>10</v>
      </c>
      <c r="C20">
        <v>10</v>
      </c>
      <c r="D20">
        <v>10</v>
      </c>
      <c r="E20">
        <v>10</v>
      </c>
    </row>
    <row r="21" spans="1:5" x14ac:dyDescent="0.25">
      <c r="A21">
        <v>19</v>
      </c>
      <c r="B21">
        <v>10</v>
      </c>
      <c r="C21">
        <v>10</v>
      </c>
      <c r="D21">
        <v>10</v>
      </c>
      <c r="E21">
        <v>10</v>
      </c>
    </row>
    <row r="22" spans="1:5" x14ac:dyDescent="0.25">
      <c r="A22">
        <v>20</v>
      </c>
      <c r="B22">
        <v>10</v>
      </c>
      <c r="C22">
        <v>10</v>
      </c>
      <c r="D22">
        <v>10</v>
      </c>
      <c r="E22">
        <v>10</v>
      </c>
    </row>
    <row r="23" spans="1:5" x14ac:dyDescent="0.25">
      <c r="A23">
        <v>21</v>
      </c>
      <c r="B23">
        <v>10</v>
      </c>
      <c r="C23">
        <v>10</v>
      </c>
      <c r="D23">
        <v>10</v>
      </c>
      <c r="E23">
        <v>10</v>
      </c>
    </row>
    <row r="24" spans="1:5" x14ac:dyDescent="0.25">
      <c r="A24">
        <v>22</v>
      </c>
      <c r="B24">
        <v>10</v>
      </c>
      <c r="C24">
        <v>10</v>
      </c>
      <c r="D24">
        <v>10</v>
      </c>
      <c r="E24">
        <v>11</v>
      </c>
    </row>
    <row r="25" spans="1:5" x14ac:dyDescent="0.25">
      <c r="A25">
        <v>23</v>
      </c>
      <c r="B25">
        <v>7</v>
      </c>
      <c r="C25">
        <v>6</v>
      </c>
      <c r="D25">
        <v>7</v>
      </c>
      <c r="E25">
        <v>6</v>
      </c>
    </row>
    <row r="26" spans="1:5" x14ac:dyDescent="0.25">
      <c r="A26" t="s">
        <v>4</v>
      </c>
      <c r="B26" t="s">
        <v>8</v>
      </c>
      <c r="C26" t="s">
        <v>8</v>
      </c>
      <c r="D26" t="s">
        <v>8</v>
      </c>
      <c r="E26" t="s">
        <v>8</v>
      </c>
    </row>
    <row r="27" spans="1:5" x14ac:dyDescent="0.25">
      <c r="A27">
        <v>25</v>
      </c>
      <c r="B27">
        <v>10</v>
      </c>
      <c r="C27">
        <v>10</v>
      </c>
      <c r="D27">
        <v>10</v>
      </c>
      <c r="E27">
        <v>10</v>
      </c>
    </row>
    <row r="28" spans="1:5" x14ac:dyDescent="0.25">
      <c r="A28">
        <v>26</v>
      </c>
      <c r="B28">
        <v>10</v>
      </c>
      <c r="C28">
        <v>10</v>
      </c>
      <c r="D28">
        <v>10</v>
      </c>
      <c r="E28">
        <v>10</v>
      </c>
    </row>
    <row r="29" spans="1:5" x14ac:dyDescent="0.25">
      <c r="A29">
        <v>27</v>
      </c>
      <c r="B29">
        <v>10</v>
      </c>
      <c r="C29">
        <v>10</v>
      </c>
      <c r="D29">
        <v>10</v>
      </c>
      <c r="E29">
        <v>10</v>
      </c>
    </row>
    <row r="30" spans="1:5" x14ac:dyDescent="0.25">
      <c r="A30">
        <v>28</v>
      </c>
      <c r="B30">
        <v>10</v>
      </c>
      <c r="C30">
        <v>10</v>
      </c>
      <c r="D30">
        <v>10</v>
      </c>
      <c r="E30">
        <v>10</v>
      </c>
    </row>
    <row r="31" spans="1:5" x14ac:dyDescent="0.25">
      <c r="A31">
        <v>29</v>
      </c>
      <c r="B31">
        <v>10</v>
      </c>
      <c r="C31">
        <v>10</v>
      </c>
      <c r="D31">
        <v>10</v>
      </c>
      <c r="E31">
        <v>10</v>
      </c>
    </row>
    <row r="32" spans="1:5" x14ac:dyDescent="0.25">
      <c r="A32">
        <v>30</v>
      </c>
      <c r="B32">
        <v>6</v>
      </c>
      <c r="C32">
        <v>6</v>
      </c>
      <c r="D32">
        <v>6</v>
      </c>
      <c r="E32">
        <v>6</v>
      </c>
    </row>
    <row r="33" spans="1:5" x14ac:dyDescent="0.25">
      <c r="A33" t="s">
        <v>5</v>
      </c>
      <c r="B33" t="s">
        <v>8</v>
      </c>
      <c r="C33" t="s">
        <v>8</v>
      </c>
      <c r="D33" t="s">
        <v>8</v>
      </c>
      <c r="E33" t="s">
        <v>8</v>
      </c>
    </row>
    <row r="34" spans="1:5" x14ac:dyDescent="0.25">
      <c r="A34" t="s">
        <v>6</v>
      </c>
      <c r="B34">
        <f>SUM(B3:B33)</f>
        <v>244</v>
      </c>
      <c r="C34">
        <f>SUM(C3:C33)</f>
        <v>241</v>
      </c>
      <c r="D34">
        <f>SUM(D3:D33)</f>
        <v>242</v>
      </c>
      <c r="E34">
        <f>SUM(E3:E33)</f>
        <v>242</v>
      </c>
    </row>
  </sheetData>
  <conditionalFormatting sqref="A1:XFD1">
    <cfRule type="duplicateValues" dxfId="20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7D989-2E24-40E6-9F42-DD70B0F093EE}">
  <sheetPr>
    <tabColor rgb="FFFFC000"/>
  </sheetPr>
  <dimension ref="A1:H34"/>
  <sheetViews>
    <sheetView rightToLeft="1" topLeftCell="A13" workbookViewId="0">
      <selection activeCell="F1" sqref="F1"/>
    </sheetView>
  </sheetViews>
  <sheetFormatPr defaultRowHeight="13.8" x14ac:dyDescent="0.25"/>
  <sheetData>
    <row r="1" spans="1:8" x14ac:dyDescent="0.25">
      <c r="A1" t="s">
        <v>0</v>
      </c>
      <c r="B1" t="s">
        <v>15</v>
      </c>
      <c r="C1" t="s">
        <v>17</v>
      </c>
      <c r="D1" t="s">
        <v>18</v>
      </c>
      <c r="E1" t="s">
        <v>20</v>
      </c>
      <c r="F1" s="3" t="s">
        <v>21</v>
      </c>
      <c r="G1" t="s">
        <v>23</v>
      </c>
      <c r="H1" t="s">
        <v>225</v>
      </c>
    </row>
    <row r="2" spans="1:8" x14ac:dyDescent="0.25">
      <c r="B2" t="s">
        <v>16</v>
      </c>
      <c r="C2" t="s">
        <v>10</v>
      </c>
      <c r="D2" t="s">
        <v>19</v>
      </c>
      <c r="E2" t="s">
        <v>235</v>
      </c>
      <c r="F2" t="s">
        <v>22</v>
      </c>
      <c r="G2" t="s">
        <v>10</v>
      </c>
      <c r="H2" t="s">
        <v>42</v>
      </c>
    </row>
    <row r="3" spans="1:8" x14ac:dyDescent="0.25">
      <c r="A3">
        <v>1</v>
      </c>
      <c r="B3" t="s">
        <v>74</v>
      </c>
      <c r="C3" t="s">
        <v>74</v>
      </c>
      <c r="D3" t="s">
        <v>41</v>
      </c>
      <c r="E3" t="s">
        <v>41</v>
      </c>
      <c r="F3" s="1"/>
      <c r="G3" t="s">
        <v>74</v>
      </c>
      <c r="H3" t="s">
        <v>74</v>
      </c>
    </row>
    <row r="4" spans="1:8" x14ac:dyDescent="0.25">
      <c r="A4">
        <v>2</v>
      </c>
      <c r="B4" t="s">
        <v>41</v>
      </c>
      <c r="C4" t="s">
        <v>41</v>
      </c>
      <c r="D4" t="s">
        <v>74</v>
      </c>
      <c r="E4" t="s">
        <v>74</v>
      </c>
      <c r="F4" s="1"/>
      <c r="G4" t="s">
        <v>41</v>
      </c>
      <c r="H4" t="s">
        <v>41</v>
      </c>
    </row>
    <row r="5" spans="1:8" x14ac:dyDescent="0.25">
      <c r="A5" t="s">
        <v>1</v>
      </c>
      <c r="B5" t="s">
        <v>8</v>
      </c>
      <c r="C5" t="s">
        <v>8</v>
      </c>
      <c r="D5" t="s">
        <v>8</v>
      </c>
      <c r="E5" t="s">
        <v>8</v>
      </c>
      <c r="F5" s="1"/>
      <c r="G5" t="s">
        <v>8</v>
      </c>
      <c r="H5" t="s">
        <v>8</v>
      </c>
    </row>
    <row r="6" spans="1:8" x14ac:dyDescent="0.25">
      <c r="A6">
        <v>4</v>
      </c>
      <c r="B6">
        <v>10</v>
      </c>
      <c r="C6">
        <v>10</v>
      </c>
      <c r="D6">
        <v>10</v>
      </c>
      <c r="E6">
        <v>10</v>
      </c>
      <c r="F6" s="1"/>
      <c r="G6">
        <v>10</v>
      </c>
      <c r="H6">
        <v>10</v>
      </c>
    </row>
    <row r="7" spans="1:8" x14ac:dyDescent="0.25">
      <c r="A7">
        <v>5</v>
      </c>
      <c r="B7" t="s">
        <v>41</v>
      </c>
      <c r="C7">
        <v>10</v>
      </c>
      <c r="D7" t="s">
        <v>41</v>
      </c>
      <c r="E7">
        <v>10</v>
      </c>
      <c r="F7" s="1"/>
      <c r="G7">
        <v>10</v>
      </c>
      <c r="H7">
        <v>10</v>
      </c>
    </row>
    <row r="8" spans="1:8" x14ac:dyDescent="0.25">
      <c r="A8">
        <v>6</v>
      </c>
      <c r="B8">
        <v>10</v>
      </c>
      <c r="C8">
        <v>10</v>
      </c>
      <c r="D8">
        <v>10</v>
      </c>
      <c r="E8">
        <v>10</v>
      </c>
      <c r="F8" s="1"/>
      <c r="G8">
        <v>10</v>
      </c>
      <c r="H8">
        <v>10</v>
      </c>
    </row>
    <row r="9" spans="1:8" x14ac:dyDescent="0.25">
      <c r="A9">
        <v>7</v>
      </c>
      <c r="B9">
        <v>10</v>
      </c>
      <c r="C9">
        <v>10</v>
      </c>
      <c r="D9">
        <v>10</v>
      </c>
      <c r="E9">
        <v>10</v>
      </c>
      <c r="F9" s="1"/>
      <c r="G9">
        <v>10</v>
      </c>
      <c r="H9">
        <v>10</v>
      </c>
    </row>
    <row r="10" spans="1:8" x14ac:dyDescent="0.25">
      <c r="A10">
        <v>8</v>
      </c>
      <c r="B10">
        <v>10</v>
      </c>
      <c r="C10">
        <v>10</v>
      </c>
      <c r="D10">
        <v>10</v>
      </c>
      <c r="E10">
        <v>10</v>
      </c>
      <c r="F10" s="1"/>
      <c r="G10">
        <v>10</v>
      </c>
      <c r="H10">
        <v>10</v>
      </c>
    </row>
    <row r="11" spans="1:8" x14ac:dyDescent="0.25">
      <c r="A11">
        <v>9</v>
      </c>
      <c r="B11" t="s">
        <v>41</v>
      </c>
      <c r="C11" t="s">
        <v>74</v>
      </c>
      <c r="D11" t="s">
        <v>41</v>
      </c>
      <c r="E11" t="s">
        <v>74</v>
      </c>
      <c r="F11" s="1"/>
      <c r="G11" t="s">
        <v>41</v>
      </c>
      <c r="H11" t="s">
        <v>74</v>
      </c>
    </row>
    <row r="12" spans="1:8" x14ac:dyDescent="0.25">
      <c r="A12" t="s">
        <v>2</v>
      </c>
      <c r="B12" t="s">
        <v>8</v>
      </c>
      <c r="C12" t="s">
        <v>8</v>
      </c>
      <c r="D12" t="s">
        <v>8</v>
      </c>
      <c r="E12" t="s">
        <v>8</v>
      </c>
      <c r="F12" s="1"/>
      <c r="G12" t="s">
        <v>8</v>
      </c>
      <c r="H12" t="s">
        <v>8</v>
      </c>
    </row>
    <row r="13" spans="1:8" x14ac:dyDescent="0.25">
      <c r="A13">
        <v>11</v>
      </c>
      <c r="B13">
        <v>10</v>
      </c>
      <c r="C13">
        <v>10</v>
      </c>
      <c r="D13" t="s">
        <v>41</v>
      </c>
      <c r="E13">
        <v>10</v>
      </c>
      <c r="F13" s="1"/>
      <c r="G13">
        <v>10</v>
      </c>
      <c r="H13">
        <v>10</v>
      </c>
    </row>
    <row r="14" spans="1:8" x14ac:dyDescent="0.25">
      <c r="A14">
        <v>12</v>
      </c>
      <c r="B14">
        <v>9.5</v>
      </c>
      <c r="C14">
        <v>9.5</v>
      </c>
      <c r="D14">
        <v>9.5</v>
      </c>
      <c r="E14">
        <v>9.5</v>
      </c>
      <c r="F14" s="1"/>
      <c r="G14">
        <v>9.5</v>
      </c>
      <c r="H14">
        <v>9.5</v>
      </c>
    </row>
    <row r="15" spans="1:8" x14ac:dyDescent="0.25">
      <c r="A15">
        <v>13</v>
      </c>
      <c r="B15" t="s">
        <v>41</v>
      </c>
      <c r="C15" t="s">
        <v>74</v>
      </c>
      <c r="D15" t="s">
        <v>41</v>
      </c>
      <c r="E15" t="s">
        <v>41</v>
      </c>
      <c r="F15" s="1"/>
      <c r="G15" t="s">
        <v>41</v>
      </c>
      <c r="H15" t="s">
        <v>41</v>
      </c>
    </row>
    <row r="16" spans="1:8" x14ac:dyDescent="0.25">
      <c r="A16">
        <v>14</v>
      </c>
      <c r="B16">
        <v>10</v>
      </c>
      <c r="C16">
        <v>10</v>
      </c>
      <c r="D16">
        <v>10</v>
      </c>
      <c r="E16">
        <v>10</v>
      </c>
      <c r="F16" s="1"/>
      <c r="G16">
        <v>10</v>
      </c>
      <c r="H16">
        <v>10</v>
      </c>
    </row>
    <row r="17" spans="1:8" x14ac:dyDescent="0.25">
      <c r="A17">
        <v>15</v>
      </c>
      <c r="B17">
        <v>10</v>
      </c>
      <c r="C17">
        <v>10</v>
      </c>
      <c r="D17">
        <v>10</v>
      </c>
      <c r="E17">
        <v>10</v>
      </c>
      <c r="F17" s="1"/>
      <c r="G17">
        <v>10</v>
      </c>
      <c r="H17">
        <v>10</v>
      </c>
    </row>
    <row r="18" spans="1:8" x14ac:dyDescent="0.25">
      <c r="A18">
        <v>16</v>
      </c>
      <c r="B18">
        <v>6</v>
      </c>
      <c r="C18">
        <v>6</v>
      </c>
      <c r="D18">
        <v>6</v>
      </c>
      <c r="E18">
        <v>6</v>
      </c>
      <c r="F18" s="1"/>
      <c r="G18">
        <v>6</v>
      </c>
      <c r="H18">
        <v>6</v>
      </c>
    </row>
    <row r="19" spans="1:8" x14ac:dyDescent="0.25">
      <c r="A19" t="s">
        <v>3</v>
      </c>
      <c r="B19" t="s">
        <v>8</v>
      </c>
      <c r="C19" t="s">
        <v>8</v>
      </c>
      <c r="D19" t="s">
        <v>8</v>
      </c>
      <c r="E19" t="s">
        <v>8</v>
      </c>
      <c r="F19" s="1"/>
      <c r="G19" t="s">
        <v>8</v>
      </c>
      <c r="H19" t="s">
        <v>8</v>
      </c>
    </row>
    <row r="20" spans="1:8" x14ac:dyDescent="0.25">
      <c r="A20">
        <v>18</v>
      </c>
      <c r="B20" t="s">
        <v>41</v>
      </c>
      <c r="C20" t="s">
        <v>41</v>
      </c>
      <c r="D20">
        <v>10</v>
      </c>
      <c r="E20">
        <v>10</v>
      </c>
      <c r="F20" s="1"/>
      <c r="G20">
        <v>10</v>
      </c>
      <c r="H20">
        <v>10</v>
      </c>
    </row>
    <row r="21" spans="1:8" x14ac:dyDescent="0.25">
      <c r="A21">
        <v>19</v>
      </c>
      <c r="B21">
        <v>10</v>
      </c>
      <c r="C21">
        <v>10</v>
      </c>
      <c r="D21">
        <v>10</v>
      </c>
      <c r="E21">
        <v>10</v>
      </c>
      <c r="F21" s="1"/>
      <c r="G21">
        <v>10</v>
      </c>
      <c r="H21">
        <v>10</v>
      </c>
    </row>
    <row r="22" spans="1:8" x14ac:dyDescent="0.25">
      <c r="A22">
        <v>20</v>
      </c>
      <c r="B22">
        <v>10</v>
      </c>
      <c r="C22">
        <v>10</v>
      </c>
      <c r="D22">
        <v>10</v>
      </c>
      <c r="E22">
        <v>10</v>
      </c>
      <c r="F22" s="1"/>
      <c r="G22">
        <v>10</v>
      </c>
      <c r="H22">
        <v>10</v>
      </c>
    </row>
    <row r="23" spans="1:8" x14ac:dyDescent="0.25">
      <c r="A23">
        <v>21</v>
      </c>
      <c r="B23">
        <v>10</v>
      </c>
      <c r="C23">
        <v>10</v>
      </c>
      <c r="D23">
        <v>10</v>
      </c>
      <c r="E23">
        <v>10</v>
      </c>
      <c r="F23" s="1"/>
      <c r="G23">
        <v>10</v>
      </c>
      <c r="H23">
        <v>10</v>
      </c>
    </row>
    <row r="24" spans="1:8" x14ac:dyDescent="0.25">
      <c r="A24">
        <v>22</v>
      </c>
      <c r="B24">
        <v>10</v>
      </c>
      <c r="C24">
        <v>10</v>
      </c>
      <c r="D24">
        <v>10</v>
      </c>
      <c r="E24">
        <v>10</v>
      </c>
      <c r="F24" s="1"/>
      <c r="G24">
        <v>10</v>
      </c>
      <c r="H24">
        <v>10</v>
      </c>
    </row>
    <row r="25" spans="1:8" x14ac:dyDescent="0.25">
      <c r="A25">
        <v>23</v>
      </c>
      <c r="B25">
        <v>6</v>
      </c>
      <c r="C25">
        <v>6</v>
      </c>
      <c r="D25">
        <v>6</v>
      </c>
      <c r="E25">
        <v>6</v>
      </c>
      <c r="F25" s="1"/>
      <c r="G25">
        <v>6</v>
      </c>
      <c r="H25">
        <v>6</v>
      </c>
    </row>
    <row r="26" spans="1:8" x14ac:dyDescent="0.25">
      <c r="A26" t="s">
        <v>4</v>
      </c>
      <c r="B26" t="s">
        <v>8</v>
      </c>
      <c r="C26" t="s">
        <v>8</v>
      </c>
      <c r="D26" t="s">
        <v>8</v>
      </c>
      <c r="E26" t="s">
        <v>8</v>
      </c>
      <c r="F26" s="1"/>
      <c r="G26" t="s">
        <v>8</v>
      </c>
      <c r="H26" t="s">
        <v>8</v>
      </c>
    </row>
    <row r="27" spans="1:8" x14ac:dyDescent="0.25">
      <c r="A27">
        <v>25</v>
      </c>
      <c r="B27">
        <v>10</v>
      </c>
      <c r="C27">
        <v>10</v>
      </c>
      <c r="D27">
        <v>10</v>
      </c>
      <c r="E27">
        <v>10</v>
      </c>
      <c r="F27" s="1"/>
      <c r="G27">
        <v>10</v>
      </c>
      <c r="H27">
        <v>10</v>
      </c>
    </row>
    <row r="28" spans="1:8" x14ac:dyDescent="0.25">
      <c r="A28">
        <v>26</v>
      </c>
      <c r="B28" t="s">
        <v>74</v>
      </c>
      <c r="C28">
        <v>10</v>
      </c>
      <c r="D28">
        <v>10</v>
      </c>
      <c r="E28" t="s">
        <v>74</v>
      </c>
      <c r="F28" s="1"/>
      <c r="G28">
        <v>10</v>
      </c>
      <c r="H28">
        <v>6</v>
      </c>
    </row>
    <row r="29" spans="1:8" x14ac:dyDescent="0.25">
      <c r="A29">
        <v>27</v>
      </c>
      <c r="B29">
        <v>10</v>
      </c>
      <c r="C29">
        <v>10</v>
      </c>
      <c r="D29">
        <v>10</v>
      </c>
      <c r="E29">
        <v>10</v>
      </c>
      <c r="F29">
        <v>10</v>
      </c>
      <c r="G29">
        <v>10</v>
      </c>
      <c r="H29" s="1" t="s">
        <v>227</v>
      </c>
    </row>
    <row r="30" spans="1:8" x14ac:dyDescent="0.25">
      <c r="A30">
        <v>28</v>
      </c>
      <c r="B30">
        <v>10</v>
      </c>
      <c r="C30">
        <v>10</v>
      </c>
      <c r="D30">
        <v>10</v>
      </c>
      <c r="E30">
        <v>10</v>
      </c>
      <c r="F30">
        <v>10</v>
      </c>
      <c r="G30">
        <v>10</v>
      </c>
      <c r="H30" s="1" t="s">
        <v>228</v>
      </c>
    </row>
    <row r="31" spans="1:8" x14ac:dyDescent="0.25">
      <c r="A31">
        <v>29</v>
      </c>
      <c r="B31">
        <v>10</v>
      </c>
      <c r="C31">
        <v>10</v>
      </c>
      <c r="D31">
        <v>10</v>
      </c>
      <c r="E31">
        <v>10</v>
      </c>
      <c r="F31">
        <v>10</v>
      </c>
      <c r="G31">
        <v>10</v>
      </c>
      <c r="H31" s="1"/>
    </row>
    <row r="32" spans="1:8" x14ac:dyDescent="0.25">
      <c r="A32">
        <v>30</v>
      </c>
      <c r="B32">
        <v>6</v>
      </c>
      <c r="C32">
        <v>6</v>
      </c>
      <c r="D32">
        <v>6</v>
      </c>
      <c r="E32">
        <v>6</v>
      </c>
      <c r="F32">
        <v>6</v>
      </c>
      <c r="G32">
        <v>6</v>
      </c>
      <c r="H32" s="1"/>
    </row>
    <row r="33" spans="1:8" x14ac:dyDescent="0.25">
      <c r="A33" t="s">
        <v>5</v>
      </c>
      <c r="B33" t="s">
        <v>8</v>
      </c>
      <c r="C33" t="s">
        <v>8</v>
      </c>
      <c r="D33" t="s">
        <v>8</v>
      </c>
      <c r="E33" t="s">
        <v>8</v>
      </c>
      <c r="F33" t="s">
        <v>8</v>
      </c>
      <c r="G33" t="s">
        <v>8</v>
      </c>
      <c r="H33" t="s">
        <v>8</v>
      </c>
    </row>
    <row r="34" spans="1:8" x14ac:dyDescent="0.25">
      <c r="A34" t="s">
        <v>6</v>
      </c>
      <c r="B34">
        <f t="shared" ref="B34:H34" si="0">SUM(B3:B33)</f>
        <v>177.5</v>
      </c>
      <c r="C34">
        <f t="shared" si="0"/>
        <v>197.5</v>
      </c>
      <c r="D34">
        <f t="shared" si="0"/>
        <v>187.5</v>
      </c>
      <c r="E34">
        <f t="shared" si="0"/>
        <v>197.5</v>
      </c>
      <c r="F34">
        <f t="shared" si="0"/>
        <v>36</v>
      </c>
      <c r="G34">
        <f t="shared" si="0"/>
        <v>207.5</v>
      </c>
      <c r="H34">
        <f t="shared" si="0"/>
        <v>167.5</v>
      </c>
    </row>
  </sheetData>
  <conditionalFormatting sqref="A1:XFD1">
    <cfRule type="duplicateValues" dxfId="19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B9C4A-D53C-4BFA-95B3-1926C963AF4B}">
  <sheetPr>
    <tabColor rgb="FFFFC000"/>
  </sheetPr>
  <dimension ref="A1:R34"/>
  <sheetViews>
    <sheetView rightToLeft="1" topLeftCell="A16" workbookViewId="0">
      <selection activeCell="E33" sqref="E33"/>
    </sheetView>
  </sheetViews>
  <sheetFormatPr defaultRowHeight="13.8" x14ac:dyDescent="0.25"/>
  <cols>
    <col min="2" max="2" width="9.19921875" bestFit="1" customWidth="1"/>
    <col min="9" max="10" width="9.19921875" bestFit="1" customWidth="1"/>
    <col min="11" max="11" width="11.19921875" bestFit="1" customWidth="1"/>
    <col min="12" max="12" width="9.09765625" bestFit="1" customWidth="1"/>
    <col min="13" max="13" width="10.19921875" bestFit="1" customWidth="1"/>
  </cols>
  <sheetData>
    <row r="1" spans="1:18" x14ac:dyDescent="0.25">
      <c r="A1" t="s">
        <v>0</v>
      </c>
      <c r="B1" t="s">
        <v>205</v>
      </c>
      <c r="C1" t="s">
        <v>102</v>
      </c>
      <c r="D1" t="s">
        <v>104</v>
      </c>
      <c r="E1" s="3" t="s">
        <v>106</v>
      </c>
      <c r="F1" t="s">
        <v>109</v>
      </c>
      <c r="G1" t="s">
        <v>107</v>
      </c>
      <c r="H1" t="s">
        <v>110</v>
      </c>
      <c r="I1" t="s">
        <v>112</v>
      </c>
      <c r="J1" t="s">
        <v>206</v>
      </c>
      <c r="K1" s="8" t="s">
        <v>207</v>
      </c>
      <c r="L1" t="s">
        <v>115</v>
      </c>
      <c r="M1" t="s">
        <v>117</v>
      </c>
      <c r="N1" t="s">
        <v>118</v>
      </c>
      <c r="O1" t="s">
        <v>119</v>
      </c>
      <c r="P1" t="s">
        <v>122</v>
      </c>
      <c r="Q1" t="s">
        <v>123</v>
      </c>
      <c r="R1" s="8" t="s">
        <v>125</v>
      </c>
    </row>
    <row r="2" spans="1:18" x14ac:dyDescent="0.25">
      <c r="B2" t="s">
        <v>82</v>
      </c>
      <c r="C2" t="s">
        <v>103</v>
      </c>
      <c r="D2" t="s">
        <v>105</v>
      </c>
      <c r="E2" t="s">
        <v>70</v>
      </c>
      <c r="F2" t="s">
        <v>94</v>
      </c>
      <c r="G2" t="s">
        <v>108</v>
      </c>
      <c r="H2" t="s">
        <v>111</v>
      </c>
      <c r="I2" t="s">
        <v>113</v>
      </c>
      <c r="J2" t="s">
        <v>114</v>
      </c>
      <c r="K2" t="s">
        <v>31</v>
      </c>
      <c r="L2" t="s">
        <v>116</v>
      </c>
      <c r="M2" t="s">
        <v>76</v>
      </c>
      <c r="N2" t="s">
        <v>64</v>
      </c>
      <c r="O2" t="s">
        <v>120</v>
      </c>
      <c r="P2" t="s">
        <v>121</v>
      </c>
      <c r="Q2" t="s">
        <v>124</v>
      </c>
      <c r="R2" t="s">
        <v>236</v>
      </c>
    </row>
    <row r="3" spans="1:18" x14ac:dyDescent="0.25">
      <c r="A3">
        <v>1</v>
      </c>
      <c r="B3" t="s">
        <v>41</v>
      </c>
      <c r="C3">
        <v>10</v>
      </c>
      <c r="D3">
        <v>10</v>
      </c>
      <c r="E3">
        <v>10</v>
      </c>
      <c r="F3">
        <v>10</v>
      </c>
      <c r="G3" t="s">
        <v>41</v>
      </c>
      <c r="H3">
        <v>10</v>
      </c>
      <c r="I3">
        <v>10</v>
      </c>
      <c r="J3">
        <v>10</v>
      </c>
      <c r="K3">
        <v>10</v>
      </c>
      <c r="L3">
        <v>10</v>
      </c>
      <c r="M3" t="s">
        <v>41</v>
      </c>
      <c r="N3">
        <v>10</v>
      </c>
      <c r="O3">
        <v>10</v>
      </c>
      <c r="P3">
        <v>10</v>
      </c>
      <c r="Q3">
        <v>10</v>
      </c>
      <c r="R3">
        <v>10</v>
      </c>
    </row>
    <row r="4" spans="1:18" x14ac:dyDescent="0.25">
      <c r="A4">
        <v>2</v>
      </c>
      <c r="B4">
        <v>6</v>
      </c>
      <c r="C4">
        <v>6</v>
      </c>
      <c r="D4">
        <v>6</v>
      </c>
      <c r="E4">
        <v>6</v>
      </c>
      <c r="F4">
        <v>6</v>
      </c>
      <c r="G4">
        <v>6</v>
      </c>
      <c r="H4">
        <v>6</v>
      </c>
      <c r="I4">
        <v>6</v>
      </c>
      <c r="J4">
        <v>6</v>
      </c>
      <c r="K4">
        <v>6</v>
      </c>
      <c r="L4">
        <v>6</v>
      </c>
      <c r="M4">
        <v>6</v>
      </c>
      <c r="N4">
        <v>6</v>
      </c>
      <c r="O4">
        <v>6</v>
      </c>
      <c r="P4">
        <v>6</v>
      </c>
      <c r="Q4">
        <v>6</v>
      </c>
      <c r="R4">
        <v>6</v>
      </c>
    </row>
    <row r="5" spans="1:18" x14ac:dyDescent="0.25">
      <c r="A5" t="s">
        <v>1</v>
      </c>
      <c r="B5" t="s">
        <v>8</v>
      </c>
      <c r="C5" t="s">
        <v>8</v>
      </c>
      <c r="D5" t="s">
        <v>8</v>
      </c>
      <c r="E5" t="s">
        <v>8</v>
      </c>
      <c r="F5" t="s">
        <v>8</v>
      </c>
      <c r="G5" t="s">
        <v>8</v>
      </c>
      <c r="H5" t="s">
        <v>8</v>
      </c>
      <c r="I5" t="s">
        <v>8</v>
      </c>
      <c r="J5" t="s">
        <v>8</v>
      </c>
      <c r="K5" t="s">
        <v>8</v>
      </c>
      <c r="L5" t="s">
        <v>8</v>
      </c>
      <c r="M5" t="s">
        <v>8</v>
      </c>
      <c r="N5" t="s">
        <v>8</v>
      </c>
      <c r="O5" t="s">
        <v>8</v>
      </c>
      <c r="P5" t="s">
        <v>8</v>
      </c>
      <c r="Q5" t="s">
        <v>8</v>
      </c>
      <c r="R5" t="s">
        <v>8</v>
      </c>
    </row>
    <row r="6" spans="1:18" x14ac:dyDescent="0.25">
      <c r="A6">
        <v>4</v>
      </c>
      <c r="B6">
        <v>10</v>
      </c>
      <c r="C6">
        <v>10</v>
      </c>
      <c r="D6">
        <v>10</v>
      </c>
      <c r="E6">
        <v>10</v>
      </c>
      <c r="F6">
        <v>10</v>
      </c>
      <c r="G6">
        <v>10</v>
      </c>
      <c r="H6">
        <v>10</v>
      </c>
      <c r="I6">
        <v>10</v>
      </c>
      <c r="J6">
        <v>10</v>
      </c>
      <c r="K6">
        <v>10</v>
      </c>
      <c r="L6">
        <v>10</v>
      </c>
      <c r="M6">
        <v>10</v>
      </c>
      <c r="N6">
        <v>10</v>
      </c>
      <c r="O6">
        <v>10</v>
      </c>
      <c r="P6">
        <v>10</v>
      </c>
      <c r="Q6">
        <v>10</v>
      </c>
      <c r="R6">
        <v>10</v>
      </c>
    </row>
    <row r="7" spans="1:18" x14ac:dyDescent="0.25">
      <c r="A7">
        <v>5</v>
      </c>
      <c r="B7">
        <v>10</v>
      </c>
      <c r="C7">
        <v>10</v>
      </c>
      <c r="D7">
        <v>10</v>
      </c>
      <c r="E7">
        <v>10</v>
      </c>
      <c r="F7">
        <v>10</v>
      </c>
      <c r="G7">
        <v>10</v>
      </c>
      <c r="H7">
        <v>10</v>
      </c>
      <c r="I7">
        <v>10</v>
      </c>
      <c r="J7">
        <v>10</v>
      </c>
      <c r="K7">
        <v>10</v>
      </c>
      <c r="L7">
        <v>10</v>
      </c>
      <c r="M7">
        <v>10</v>
      </c>
      <c r="N7">
        <v>10</v>
      </c>
      <c r="O7">
        <v>10</v>
      </c>
      <c r="P7">
        <v>10</v>
      </c>
      <c r="Q7">
        <v>10</v>
      </c>
      <c r="R7">
        <v>10</v>
      </c>
    </row>
    <row r="8" spans="1:18" x14ac:dyDescent="0.25">
      <c r="A8">
        <v>6</v>
      </c>
      <c r="B8">
        <v>10</v>
      </c>
      <c r="C8">
        <v>10</v>
      </c>
      <c r="D8">
        <v>10</v>
      </c>
      <c r="E8">
        <v>10</v>
      </c>
      <c r="F8">
        <v>10</v>
      </c>
      <c r="G8">
        <v>10</v>
      </c>
      <c r="H8">
        <v>10</v>
      </c>
      <c r="I8">
        <v>10</v>
      </c>
      <c r="J8">
        <v>10</v>
      </c>
      <c r="K8">
        <v>10</v>
      </c>
      <c r="L8">
        <v>10</v>
      </c>
      <c r="M8">
        <v>10</v>
      </c>
      <c r="N8">
        <v>10</v>
      </c>
      <c r="O8">
        <v>10</v>
      </c>
      <c r="P8">
        <v>10</v>
      </c>
      <c r="Q8">
        <v>10</v>
      </c>
      <c r="R8">
        <v>10</v>
      </c>
    </row>
    <row r="9" spans="1:18" x14ac:dyDescent="0.25">
      <c r="A9">
        <v>7</v>
      </c>
      <c r="B9">
        <v>10</v>
      </c>
      <c r="C9">
        <v>10</v>
      </c>
      <c r="D9">
        <v>10</v>
      </c>
      <c r="E9">
        <v>10</v>
      </c>
      <c r="F9">
        <v>10</v>
      </c>
      <c r="G9">
        <v>10</v>
      </c>
      <c r="H9">
        <v>10</v>
      </c>
      <c r="I9">
        <v>10</v>
      </c>
      <c r="J9">
        <v>10</v>
      </c>
      <c r="K9">
        <v>10</v>
      </c>
      <c r="L9">
        <v>10</v>
      </c>
      <c r="M9">
        <v>10</v>
      </c>
      <c r="N9">
        <v>10</v>
      </c>
      <c r="O9">
        <v>10</v>
      </c>
      <c r="P9">
        <v>10</v>
      </c>
      <c r="Q9">
        <v>10</v>
      </c>
      <c r="R9">
        <v>10</v>
      </c>
    </row>
    <row r="10" spans="1:18" x14ac:dyDescent="0.25">
      <c r="A10">
        <v>8</v>
      </c>
      <c r="B10">
        <v>10</v>
      </c>
      <c r="C10">
        <v>10</v>
      </c>
      <c r="D10">
        <v>10</v>
      </c>
      <c r="E10">
        <v>10</v>
      </c>
      <c r="F10">
        <v>10</v>
      </c>
      <c r="G10">
        <v>10</v>
      </c>
      <c r="H10">
        <v>10</v>
      </c>
      <c r="I10">
        <v>10</v>
      </c>
      <c r="J10">
        <v>10</v>
      </c>
      <c r="K10">
        <v>10</v>
      </c>
      <c r="L10">
        <v>10</v>
      </c>
      <c r="M10">
        <v>10</v>
      </c>
      <c r="N10">
        <v>10</v>
      </c>
      <c r="O10">
        <v>10</v>
      </c>
      <c r="P10">
        <v>10</v>
      </c>
      <c r="Q10">
        <v>10</v>
      </c>
      <c r="R10">
        <v>10</v>
      </c>
    </row>
    <row r="11" spans="1:18" x14ac:dyDescent="0.25">
      <c r="A11">
        <v>9</v>
      </c>
      <c r="B11" t="s">
        <v>74</v>
      </c>
      <c r="C11" t="s">
        <v>74</v>
      </c>
      <c r="D11" t="s">
        <v>74</v>
      </c>
      <c r="E11" t="s">
        <v>74</v>
      </c>
      <c r="F11" t="s">
        <v>74</v>
      </c>
      <c r="G11" t="s">
        <v>74</v>
      </c>
      <c r="H11" t="s">
        <v>74</v>
      </c>
      <c r="I11" t="s">
        <v>74</v>
      </c>
      <c r="J11" t="s">
        <v>74</v>
      </c>
      <c r="K11" s="8" t="s">
        <v>41</v>
      </c>
      <c r="L11" t="s">
        <v>74</v>
      </c>
      <c r="M11" t="s">
        <v>74</v>
      </c>
      <c r="N11" t="s">
        <v>74</v>
      </c>
      <c r="O11" t="s">
        <v>41</v>
      </c>
      <c r="P11" t="s">
        <v>74</v>
      </c>
      <c r="Q11" t="s">
        <v>74</v>
      </c>
      <c r="R11" s="8" t="s">
        <v>41</v>
      </c>
    </row>
    <row r="12" spans="1:18" x14ac:dyDescent="0.25">
      <c r="A12" t="s">
        <v>2</v>
      </c>
      <c r="B12" t="s">
        <v>8</v>
      </c>
      <c r="C12" t="s">
        <v>8</v>
      </c>
      <c r="D12" t="s">
        <v>8</v>
      </c>
      <c r="E12" t="s">
        <v>8</v>
      </c>
      <c r="F12" t="s">
        <v>8</v>
      </c>
      <c r="G12" t="s">
        <v>8</v>
      </c>
      <c r="H12" t="s">
        <v>8</v>
      </c>
      <c r="I12" t="s">
        <v>8</v>
      </c>
      <c r="J12" t="s">
        <v>8</v>
      </c>
      <c r="K12" t="s">
        <v>8</v>
      </c>
      <c r="L12" t="s">
        <v>8</v>
      </c>
      <c r="M12" t="s">
        <v>8</v>
      </c>
      <c r="N12" t="s">
        <v>8</v>
      </c>
      <c r="O12" t="s">
        <v>8</v>
      </c>
      <c r="P12" t="s">
        <v>8</v>
      </c>
      <c r="Q12" t="s">
        <v>8</v>
      </c>
      <c r="R12" t="s">
        <v>8</v>
      </c>
    </row>
    <row r="13" spans="1:18" x14ac:dyDescent="0.25">
      <c r="A13">
        <v>11</v>
      </c>
      <c r="B13">
        <v>10</v>
      </c>
      <c r="C13">
        <v>10</v>
      </c>
      <c r="D13">
        <v>10</v>
      </c>
      <c r="E13">
        <v>10</v>
      </c>
      <c r="F13">
        <v>10</v>
      </c>
      <c r="G13">
        <v>10</v>
      </c>
      <c r="H13">
        <v>10</v>
      </c>
      <c r="I13">
        <v>10</v>
      </c>
      <c r="J13">
        <v>10</v>
      </c>
      <c r="K13">
        <v>10</v>
      </c>
      <c r="L13">
        <v>10</v>
      </c>
      <c r="M13">
        <v>10</v>
      </c>
      <c r="N13">
        <v>10</v>
      </c>
      <c r="O13">
        <v>10</v>
      </c>
      <c r="P13">
        <v>10</v>
      </c>
      <c r="Q13">
        <v>10</v>
      </c>
      <c r="R13">
        <v>10</v>
      </c>
    </row>
    <row r="14" spans="1:18" x14ac:dyDescent="0.25">
      <c r="A14">
        <v>12</v>
      </c>
      <c r="B14">
        <v>10</v>
      </c>
      <c r="C14">
        <v>10</v>
      </c>
      <c r="D14">
        <v>10</v>
      </c>
      <c r="E14">
        <v>10</v>
      </c>
      <c r="F14">
        <v>10</v>
      </c>
      <c r="G14">
        <v>10</v>
      </c>
      <c r="H14">
        <v>10</v>
      </c>
      <c r="I14">
        <v>10</v>
      </c>
      <c r="J14">
        <v>10</v>
      </c>
      <c r="K14">
        <v>10</v>
      </c>
      <c r="L14">
        <v>10</v>
      </c>
      <c r="M14">
        <v>10</v>
      </c>
      <c r="N14">
        <v>10</v>
      </c>
      <c r="O14">
        <v>10</v>
      </c>
      <c r="P14">
        <v>10</v>
      </c>
      <c r="Q14">
        <v>10</v>
      </c>
      <c r="R14">
        <v>10</v>
      </c>
    </row>
    <row r="15" spans="1:18" x14ac:dyDescent="0.25">
      <c r="A15">
        <v>13</v>
      </c>
      <c r="B15" s="9" t="s">
        <v>41</v>
      </c>
      <c r="C15" t="s">
        <v>41</v>
      </c>
      <c r="D15">
        <v>10</v>
      </c>
      <c r="E15" t="s">
        <v>74</v>
      </c>
      <c r="F15" t="s">
        <v>41</v>
      </c>
      <c r="G15">
        <v>10</v>
      </c>
      <c r="H15" t="s">
        <v>41</v>
      </c>
      <c r="I15" t="s">
        <v>41</v>
      </c>
      <c r="J15" t="s">
        <v>41</v>
      </c>
      <c r="K15" t="s">
        <v>41</v>
      </c>
      <c r="L15" t="s">
        <v>41</v>
      </c>
      <c r="M15" t="s">
        <v>41</v>
      </c>
      <c r="N15" t="s">
        <v>41</v>
      </c>
      <c r="O15" t="s">
        <v>41</v>
      </c>
      <c r="P15" t="s">
        <v>41</v>
      </c>
      <c r="Q15" t="s">
        <v>41</v>
      </c>
      <c r="R15" t="s">
        <v>41</v>
      </c>
    </row>
    <row r="16" spans="1:18" x14ac:dyDescent="0.25">
      <c r="A16">
        <v>14</v>
      </c>
      <c r="B16">
        <v>10</v>
      </c>
      <c r="C16">
        <v>10</v>
      </c>
      <c r="D16">
        <v>10</v>
      </c>
      <c r="E16">
        <v>10</v>
      </c>
      <c r="F16" t="s">
        <v>41</v>
      </c>
      <c r="G16">
        <v>10</v>
      </c>
      <c r="H16">
        <v>10</v>
      </c>
      <c r="I16">
        <v>10</v>
      </c>
      <c r="J16">
        <v>10</v>
      </c>
      <c r="K16">
        <v>10</v>
      </c>
      <c r="L16">
        <v>10</v>
      </c>
      <c r="M16">
        <v>10</v>
      </c>
      <c r="N16">
        <v>10</v>
      </c>
      <c r="O16" t="s">
        <v>74</v>
      </c>
      <c r="P16">
        <v>10</v>
      </c>
      <c r="Q16">
        <v>10</v>
      </c>
      <c r="R16">
        <v>10</v>
      </c>
    </row>
    <row r="17" spans="1:18" x14ac:dyDescent="0.25">
      <c r="A17">
        <v>15</v>
      </c>
      <c r="B17">
        <v>10</v>
      </c>
      <c r="C17">
        <v>10</v>
      </c>
      <c r="D17">
        <v>10</v>
      </c>
      <c r="E17">
        <v>10</v>
      </c>
      <c r="F17">
        <v>10</v>
      </c>
      <c r="G17">
        <v>10</v>
      </c>
      <c r="H17">
        <v>10</v>
      </c>
      <c r="I17">
        <v>10</v>
      </c>
      <c r="J17">
        <v>10</v>
      </c>
      <c r="K17">
        <v>10</v>
      </c>
      <c r="L17">
        <v>10</v>
      </c>
      <c r="M17">
        <v>10</v>
      </c>
      <c r="N17">
        <v>10</v>
      </c>
      <c r="O17">
        <v>10</v>
      </c>
      <c r="P17" t="s">
        <v>74</v>
      </c>
      <c r="Q17">
        <v>10</v>
      </c>
      <c r="R17">
        <v>10</v>
      </c>
    </row>
    <row r="18" spans="1:18" x14ac:dyDescent="0.25">
      <c r="A18">
        <v>16</v>
      </c>
      <c r="B18">
        <v>6</v>
      </c>
      <c r="C18">
        <v>6</v>
      </c>
      <c r="D18">
        <v>6</v>
      </c>
      <c r="E18">
        <v>6</v>
      </c>
      <c r="F18">
        <v>6</v>
      </c>
      <c r="G18">
        <v>6</v>
      </c>
      <c r="H18">
        <v>6</v>
      </c>
      <c r="I18">
        <v>6</v>
      </c>
      <c r="J18">
        <v>6</v>
      </c>
      <c r="K18">
        <v>6</v>
      </c>
      <c r="L18">
        <v>6</v>
      </c>
      <c r="M18">
        <v>6</v>
      </c>
      <c r="N18">
        <v>6</v>
      </c>
      <c r="O18">
        <v>6</v>
      </c>
      <c r="P18" t="s">
        <v>41</v>
      </c>
      <c r="Q18">
        <v>6</v>
      </c>
      <c r="R18">
        <v>6</v>
      </c>
    </row>
    <row r="19" spans="1:18" x14ac:dyDescent="0.25">
      <c r="A19" t="s">
        <v>3</v>
      </c>
      <c r="B19" t="s">
        <v>8</v>
      </c>
      <c r="C19" t="s">
        <v>8</v>
      </c>
      <c r="D19" t="s">
        <v>8</v>
      </c>
      <c r="E19" t="s">
        <v>8</v>
      </c>
      <c r="F19" t="s">
        <v>8</v>
      </c>
      <c r="G19" t="s">
        <v>8</v>
      </c>
      <c r="H19" t="s">
        <v>8</v>
      </c>
      <c r="I19" t="s">
        <v>8</v>
      </c>
      <c r="J19" t="s">
        <v>8</v>
      </c>
      <c r="K19" t="s">
        <v>8</v>
      </c>
      <c r="L19" t="s">
        <v>8</v>
      </c>
      <c r="M19" t="s">
        <v>8</v>
      </c>
      <c r="N19" t="s">
        <v>8</v>
      </c>
      <c r="O19" t="s">
        <v>8</v>
      </c>
      <c r="P19" t="s">
        <v>8</v>
      </c>
      <c r="Q19" t="s">
        <v>8</v>
      </c>
      <c r="R19" t="s">
        <v>8</v>
      </c>
    </row>
    <row r="20" spans="1:18" x14ac:dyDescent="0.25">
      <c r="A20">
        <v>18</v>
      </c>
      <c r="B20">
        <v>10</v>
      </c>
      <c r="D20">
        <v>10</v>
      </c>
      <c r="E20" s="1"/>
      <c r="F20">
        <v>10</v>
      </c>
      <c r="G20">
        <v>10</v>
      </c>
      <c r="H20">
        <v>10</v>
      </c>
      <c r="I20" t="s">
        <v>41</v>
      </c>
      <c r="J20">
        <v>10</v>
      </c>
      <c r="K20">
        <v>10</v>
      </c>
      <c r="L20">
        <v>10</v>
      </c>
      <c r="M20">
        <v>10</v>
      </c>
      <c r="N20">
        <v>10</v>
      </c>
      <c r="O20">
        <v>10</v>
      </c>
      <c r="P20" t="s">
        <v>41</v>
      </c>
      <c r="Q20">
        <v>10</v>
      </c>
      <c r="R20">
        <v>10</v>
      </c>
    </row>
    <row r="21" spans="1:18" x14ac:dyDescent="0.25">
      <c r="A21">
        <v>19</v>
      </c>
      <c r="B21">
        <v>10</v>
      </c>
      <c r="D21">
        <v>10</v>
      </c>
      <c r="E21" s="1"/>
      <c r="F21">
        <v>10</v>
      </c>
      <c r="G21">
        <v>10</v>
      </c>
      <c r="H21">
        <v>10</v>
      </c>
      <c r="I21">
        <v>10</v>
      </c>
      <c r="J21">
        <v>10</v>
      </c>
      <c r="K21">
        <v>10</v>
      </c>
      <c r="L21">
        <v>10</v>
      </c>
      <c r="M21">
        <v>10</v>
      </c>
      <c r="N21">
        <v>10</v>
      </c>
      <c r="O21">
        <v>10</v>
      </c>
      <c r="P21">
        <v>10</v>
      </c>
      <c r="Q21">
        <v>10</v>
      </c>
      <c r="R21">
        <v>10</v>
      </c>
    </row>
    <row r="22" spans="1:18" x14ac:dyDescent="0.25">
      <c r="A22">
        <v>20</v>
      </c>
      <c r="B22">
        <v>10</v>
      </c>
      <c r="D22">
        <v>10</v>
      </c>
      <c r="E22" s="1"/>
      <c r="F22">
        <v>10</v>
      </c>
      <c r="G22">
        <v>10</v>
      </c>
      <c r="H22">
        <v>10</v>
      </c>
      <c r="I22">
        <v>10</v>
      </c>
      <c r="J22">
        <v>10</v>
      </c>
      <c r="K22">
        <v>10</v>
      </c>
      <c r="L22">
        <v>10</v>
      </c>
      <c r="M22">
        <v>10</v>
      </c>
      <c r="N22">
        <v>10</v>
      </c>
      <c r="O22">
        <v>10</v>
      </c>
      <c r="P22">
        <v>10</v>
      </c>
      <c r="Q22">
        <v>10</v>
      </c>
      <c r="R22">
        <v>10</v>
      </c>
    </row>
    <row r="23" spans="1:18" x14ac:dyDescent="0.25">
      <c r="A23">
        <v>21</v>
      </c>
      <c r="B23">
        <v>10</v>
      </c>
      <c r="D23">
        <v>10</v>
      </c>
      <c r="E23" s="1"/>
      <c r="F23">
        <v>10</v>
      </c>
      <c r="G23">
        <v>10</v>
      </c>
      <c r="H23">
        <v>10</v>
      </c>
      <c r="I23">
        <v>10</v>
      </c>
      <c r="J23">
        <v>10</v>
      </c>
      <c r="K23">
        <v>10</v>
      </c>
      <c r="L23">
        <v>10</v>
      </c>
      <c r="M23">
        <v>10</v>
      </c>
      <c r="N23">
        <v>10</v>
      </c>
      <c r="O23">
        <v>10</v>
      </c>
      <c r="P23">
        <v>10</v>
      </c>
      <c r="Q23">
        <v>10</v>
      </c>
      <c r="R23">
        <v>10</v>
      </c>
    </row>
    <row r="24" spans="1:18" x14ac:dyDescent="0.25">
      <c r="A24">
        <v>22</v>
      </c>
      <c r="B24">
        <v>10</v>
      </c>
      <c r="D24" t="s">
        <v>41</v>
      </c>
      <c r="E24" s="1"/>
      <c r="F24">
        <v>10</v>
      </c>
      <c r="G24" t="s">
        <v>41</v>
      </c>
      <c r="H24">
        <v>10</v>
      </c>
      <c r="I24">
        <v>10</v>
      </c>
      <c r="J24">
        <v>10</v>
      </c>
      <c r="K24">
        <v>10</v>
      </c>
      <c r="L24">
        <v>10</v>
      </c>
      <c r="M24">
        <v>10</v>
      </c>
      <c r="N24">
        <v>10</v>
      </c>
      <c r="O24">
        <v>10</v>
      </c>
      <c r="P24">
        <v>10</v>
      </c>
      <c r="Q24">
        <v>10</v>
      </c>
      <c r="R24">
        <v>10</v>
      </c>
    </row>
    <row r="25" spans="1:18" x14ac:dyDescent="0.25">
      <c r="A25">
        <v>23</v>
      </c>
      <c r="B25">
        <v>6</v>
      </c>
      <c r="D25">
        <v>6</v>
      </c>
      <c r="E25" s="1"/>
      <c r="F25">
        <v>6</v>
      </c>
      <c r="G25">
        <v>6</v>
      </c>
      <c r="H25">
        <v>6</v>
      </c>
      <c r="I25">
        <v>6</v>
      </c>
      <c r="J25">
        <v>6</v>
      </c>
      <c r="K25">
        <v>6</v>
      </c>
      <c r="L25">
        <v>6</v>
      </c>
      <c r="M25">
        <v>6</v>
      </c>
      <c r="N25">
        <v>6</v>
      </c>
      <c r="O25">
        <v>6</v>
      </c>
      <c r="P25">
        <v>6</v>
      </c>
      <c r="Q25">
        <v>6</v>
      </c>
      <c r="R25">
        <v>6</v>
      </c>
    </row>
    <row r="26" spans="1:18" x14ac:dyDescent="0.25">
      <c r="A26" t="s">
        <v>4</v>
      </c>
      <c r="B26" t="s">
        <v>8</v>
      </c>
      <c r="C26" t="s">
        <v>8</v>
      </c>
      <c r="D26" t="s">
        <v>8</v>
      </c>
      <c r="E26" s="1"/>
      <c r="F26" t="s">
        <v>8</v>
      </c>
      <c r="G26" t="s">
        <v>8</v>
      </c>
      <c r="H26" t="s">
        <v>8</v>
      </c>
      <c r="I26" t="s">
        <v>8</v>
      </c>
      <c r="J26" t="s">
        <v>8</v>
      </c>
      <c r="K26" t="s">
        <v>8</v>
      </c>
      <c r="L26" t="s">
        <v>8</v>
      </c>
      <c r="M26" t="s">
        <v>8</v>
      </c>
      <c r="N26" t="s">
        <v>8</v>
      </c>
      <c r="O26" t="s">
        <v>8</v>
      </c>
      <c r="P26" t="s">
        <v>8</v>
      </c>
      <c r="Q26" t="s">
        <v>8</v>
      </c>
      <c r="R26" t="s">
        <v>8</v>
      </c>
    </row>
    <row r="27" spans="1:18" x14ac:dyDescent="0.25">
      <c r="A27">
        <v>25</v>
      </c>
      <c r="B27">
        <v>10</v>
      </c>
      <c r="D27">
        <v>10</v>
      </c>
      <c r="E27" s="1"/>
      <c r="F27">
        <v>10</v>
      </c>
      <c r="G27">
        <v>10</v>
      </c>
      <c r="H27">
        <v>10</v>
      </c>
      <c r="I27">
        <v>10</v>
      </c>
      <c r="J27">
        <v>10</v>
      </c>
      <c r="K27">
        <v>10</v>
      </c>
      <c r="L27">
        <v>10</v>
      </c>
      <c r="M27">
        <v>10</v>
      </c>
      <c r="N27">
        <v>10</v>
      </c>
      <c r="O27">
        <v>10</v>
      </c>
      <c r="P27">
        <v>10</v>
      </c>
      <c r="Q27">
        <v>10</v>
      </c>
      <c r="R27">
        <v>10</v>
      </c>
    </row>
    <row r="28" spans="1:18" x14ac:dyDescent="0.25">
      <c r="A28">
        <v>26</v>
      </c>
      <c r="B28">
        <v>10</v>
      </c>
      <c r="D28">
        <v>10</v>
      </c>
      <c r="E28" s="1"/>
      <c r="F28">
        <v>10</v>
      </c>
      <c r="G28">
        <v>10</v>
      </c>
      <c r="H28">
        <v>10</v>
      </c>
      <c r="I28">
        <v>10</v>
      </c>
      <c r="J28">
        <v>10</v>
      </c>
      <c r="K28">
        <v>10</v>
      </c>
      <c r="L28">
        <v>10</v>
      </c>
      <c r="M28">
        <v>10</v>
      </c>
      <c r="N28">
        <v>10</v>
      </c>
      <c r="O28" t="s">
        <v>41</v>
      </c>
      <c r="P28">
        <v>10</v>
      </c>
      <c r="Q28">
        <v>10</v>
      </c>
      <c r="R28">
        <v>10</v>
      </c>
    </row>
    <row r="29" spans="1:18" x14ac:dyDescent="0.25">
      <c r="A29">
        <v>27</v>
      </c>
      <c r="B29">
        <v>10</v>
      </c>
      <c r="D29">
        <v>10</v>
      </c>
      <c r="E29" s="1"/>
      <c r="F29">
        <v>10</v>
      </c>
      <c r="G29">
        <v>10</v>
      </c>
      <c r="H29">
        <v>10</v>
      </c>
      <c r="I29">
        <v>10</v>
      </c>
      <c r="J29">
        <v>10</v>
      </c>
      <c r="K29">
        <v>10</v>
      </c>
      <c r="L29">
        <v>10</v>
      </c>
      <c r="M29">
        <v>10</v>
      </c>
      <c r="N29">
        <v>10</v>
      </c>
      <c r="O29">
        <v>10</v>
      </c>
      <c r="P29">
        <v>10</v>
      </c>
      <c r="Q29">
        <v>10</v>
      </c>
      <c r="R29">
        <v>10</v>
      </c>
    </row>
    <row r="30" spans="1:18" x14ac:dyDescent="0.25">
      <c r="A30">
        <v>28</v>
      </c>
      <c r="B30">
        <v>10</v>
      </c>
      <c r="C30" s="1" t="s">
        <v>227</v>
      </c>
      <c r="D30">
        <v>10</v>
      </c>
      <c r="E30" s="1"/>
      <c r="F30">
        <v>10</v>
      </c>
      <c r="G30">
        <v>10</v>
      </c>
      <c r="H30">
        <v>10</v>
      </c>
      <c r="I30">
        <v>10</v>
      </c>
      <c r="J30">
        <v>10</v>
      </c>
      <c r="K30">
        <v>10</v>
      </c>
      <c r="L30">
        <v>10</v>
      </c>
      <c r="M30">
        <v>10</v>
      </c>
      <c r="N30">
        <v>10</v>
      </c>
      <c r="O30">
        <v>10</v>
      </c>
      <c r="P30">
        <v>10</v>
      </c>
      <c r="Q30">
        <v>10</v>
      </c>
      <c r="R30">
        <v>10</v>
      </c>
    </row>
    <row r="31" spans="1:18" x14ac:dyDescent="0.25">
      <c r="A31">
        <v>29</v>
      </c>
      <c r="B31">
        <v>10</v>
      </c>
      <c r="C31" s="1" t="s">
        <v>228</v>
      </c>
      <c r="D31">
        <v>10</v>
      </c>
      <c r="E31" s="1"/>
      <c r="F31">
        <v>10</v>
      </c>
      <c r="G31">
        <v>10</v>
      </c>
      <c r="H31">
        <v>10</v>
      </c>
      <c r="I31">
        <v>10</v>
      </c>
      <c r="J31">
        <v>10</v>
      </c>
      <c r="K31">
        <v>10</v>
      </c>
      <c r="L31">
        <v>10</v>
      </c>
      <c r="M31">
        <v>10</v>
      </c>
      <c r="N31">
        <v>10</v>
      </c>
      <c r="O31">
        <v>10</v>
      </c>
      <c r="P31">
        <v>10</v>
      </c>
      <c r="Q31">
        <v>10</v>
      </c>
      <c r="R31">
        <v>10</v>
      </c>
    </row>
    <row r="32" spans="1:18" x14ac:dyDescent="0.25">
      <c r="A32">
        <v>30</v>
      </c>
      <c r="B32">
        <v>6</v>
      </c>
      <c r="C32" s="1"/>
      <c r="D32">
        <v>6</v>
      </c>
      <c r="E32" s="1"/>
      <c r="F32">
        <v>6</v>
      </c>
      <c r="G32">
        <v>6</v>
      </c>
      <c r="H32">
        <v>6</v>
      </c>
      <c r="I32">
        <v>6</v>
      </c>
      <c r="J32">
        <v>6</v>
      </c>
      <c r="K32">
        <v>6</v>
      </c>
      <c r="L32">
        <v>6</v>
      </c>
      <c r="M32">
        <v>6</v>
      </c>
      <c r="N32">
        <v>6</v>
      </c>
      <c r="O32">
        <v>6</v>
      </c>
      <c r="P32">
        <v>6</v>
      </c>
      <c r="Q32">
        <v>6</v>
      </c>
      <c r="R32">
        <v>6</v>
      </c>
    </row>
    <row r="33" spans="1:18" x14ac:dyDescent="0.25">
      <c r="A33" t="s">
        <v>5</v>
      </c>
      <c r="B33" t="s">
        <v>8</v>
      </c>
      <c r="C33" s="1"/>
      <c r="D33" t="s">
        <v>8</v>
      </c>
      <c r="E33" s="1"/>
      <c r="F33" t="s">
        <v>8</v>
      </c>
      <c r="G33" t="s">
        <v>8</v>
      </c>
      <c r="H33" t="s">
        <v>8</v>
      </c>
      <c r="I33" t="s">
        <v>8</v>
      </c>
      <c r="J33" t="s">
        <v>8</v>
      </c>
      <c r="K33" t="s">
        <v>8</v>
      </c>
      <c r="L33" t="s">
        <v>8</v>
      </c>
      <c r="M33" t="s">
        <v>8</v>
      </c>
      <c r="N33" t="s">
        <v>8</v>
      </c>
      <c r="O33" t="s">
        <v>8</v>
      </c>
      <c r="P33" t="s">
        <v>8</v>
      </c>
      <c r="Q33" t="s">
        <v>8</v>
      </c>
      <c r="R33" t="s">
        <v>8</v>
      </c>
    </row>
    <row r="34" spans="1:18" x14ac:dyDescent="0.25">
      <c r="A34" t="s">
        <v>6</v>
      </c>
      <c r="B34">
        <f t="shared" ref="B34:R34" si="0">SUM(B3:B33)</f>
        <v>214</v>
      </c>
      <c r="C34">
        <f t="shared" si="0"/>
        <v>112</v>
      </c>
      <c r="D34">
        <f t="shared" si="0"/>
        <v>224</v>
      </c>
      <c r="E34">
        <f t="shared" si="0"/>
        <v>112</v>
      </c>
      <c r="F34">
        <f t="shared" si="0"/>
        <v>214</v>
      </c>
      <c r="G34">
        <f t="shared" si="0"/>
        <v>214</v>
      </c>
      <c r="H34">
        <f t="shared" si="0"/>
        <v>224</v>
      </c>
      <c r="I34">
        <f t="shared" si="0"/>
        <v>214</v>
      </c>
      <c r="J34">
        <f t="shared" si="0"/>
        <v>224</v>
      </c>
      <c r="K34">
        <f t="shared" si="0"/>
        <v>224</v>
      </c>
      <c r="L34">
        <f t="shared" si="0"/>
        <v>224</v>
      </c>
      <c r="M34">
        <f t="shared" si="0"/>
        <v>214</v>
      </c>
      <c r="N34">
        <f t="shared" si="0"/>
        <v>224</v>
      </c>
      <c r="O34">
        <f t="shared" si="0"/>
        <v>204</v>
      </c>
      <c r="P34">
        <f t="shared" si="0"/>
        <v>198</v>
      </c>
      <c r="Q34">
        <f t="shared" si="0"/>
        <v>224</v>
      </c>
      <c r="R34">
        <f t="shared" si="0"/>
        <v>224</v>
      </c>
    </row>
  </sheetData>
  <conditionalFormatting sqref="A1:XFD1">
    <cfRule type="duplicateValues" dxfId="18" priority="1"/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94F96-DC80-4B4E-8C2E-45D3DE901194}">
  <sheetPr>
    <tabColor rgb="FFFF0000"/>
  </sheetPr>
  <dimension ref="A1:Q34"/>
  <sheetViews>
    <sheetView rightToLeft="1" workbookViewId="0">
      <selection activeCell="C10" sqref="C10"/>
    </sheetView>
  </sheetViews>
  <sheetFormatPr defaultRowHeight="13.8" x14ac:dyDescent="0.25"/>
  <cols>
    <col min="2" max="2" width="9.19921875" bestFit="1" customWidth="1"/>
  </cols>
  <sheetData>
    <row r="1" spans="1:17" x14ac:dyDescent="0.25">
      <c r="A1" t="s">
        <v>0</v>
      </c>
      <c r="B1" t="s">
        <v>43</v>
      </c>
      <c r="C1" t="s">
        <v>46</v>
      </c>
      <c r="D1" t="s">
        <v>209</v>
      </c>
      <c r="E1" t="s">
        <v>49</v>
      </c>
      <c r="F1" t="s">
        <v>51</v>
      </c>
      <c r="G1" t="s">
        <v>52</v>
      </c>
      <c r="H1" t="s">
        <v>54</v>
      </c>
      <c r="I1" t="s">
        <v>56</v>
      </c>
      <c r="J1" t="s">
        <v>57</v>
      </c>
      <c r="K1" t="s">
        <v>59</v>
      </c>
      <c r="L1" t="s">
        <v>61</v>
      </c>
      <c r="M1" t="s">
        <v>63</v>
      </c>
      <c r="N1" t="s">
        <v>65</v>
      </c>
      <c r="O1" t="s">
        <v>67</v>
      </c>
      <c r="P1" t="s">
        <v>69</v>
      </c>
      <c r="Q1" t="s">
        <v>71</v>
      </c>
    </row>
    <row r="2" spans="1:17" x14ac:dyDescent="0.25">
      <c r="B2" t="s">
        <v>44</v>
      </c>
      <c r="C2" t="s">
        <v>47</v>
      </c>
      <c r="D2" t="s">
        <v>48</v>
      </c>
      <c r="E2" t="s">
        <v>50</v>
      </c>
      <c r="F2" t="s">
        <v>22</v>
      </c>
      <c r="G2" t="s">
        <v>53</v>
      </c>
      <c r="H2" t="s">
        <v>55</v>
      </c>
      <c r="I2" t="s">
        <v>27</v>
      </c>
      <c r="J2" t="s">
        <v>58</v>
      </c>
      <c r="K2" t="s">
        <v>60</v>
      </c>
      <c r="L2" t="s">
        <v>62</v>
      </c>
      <c r="M2" t="s">
        <v>64</v>
      </c>
      <c r="N2" t="s">
        <v>66</v>
      </c>
      <c r="O2" t="s">
        <v>68</v>
      </c>
      <c r="P2" t="s">
        <v>70</v>
      </c>
      <c r="Q2" t="s">
        <v>72</v>
      </c>
    </row>
    <row r="3" spans="1:17" x14ac:dyDescent="0.25">
      <c r="A3">
        <v>1</v>
      </c>
      <c r="B3">
        <v>10</v>
      </c>
      <c r="C3">
        <v>10</v>
      </c>
      <c r="D3" t="s">
        <v>45</v>
      </c>
      <c r="E3" t="s">
        <v>45</v>
      </c>
      <c r="F3" t="s">
        <v>45</v>
      </c>
      <c r="G3" t="s">
        <v>45</v>
      </c>
      <c r="H3" t="s">
        <v>45</v>
      </c>
      <c r="I3">
        <v>10</v>
      </c>
      <c r="J3" t="s">
        <v>45</v>
      </c>
      <c r="K3" t="s">
        <v>45</v>
      </c>
      <c r="L3" t="s">
        <v>45</v>
      </c>
      <c r="M3" t="s">
        <v>45</v>
      </c>
      <c r="N3" t="s">
        <v>45</v>
      </c>
      <c r="O3" t="s">
        <v>45</v>
      </c>
      <c r="P3" t="s">
        <v>45</v>
      </c>
      <c r="Q3" t="s">
        <v>73</v>
      </c>
    </row>
    <row r="4" spans="1:17" x14ac:dyDescent="0.25">
      <c r="A4">
        <v>2</v>
      </c>
      <c r="B4">
        <v>7</v>
      </c>
      <c r="C4">
        <v>7</v>
      </c>
      <c r="D4">
        <v>7</v>
      </c>
      <c r="E4">
        <v>7</v>
      </c>
      <c r="F4">
        <v>7</v>
      </c>
      <c r="G4">
        <v>7</v>
      </c>
      <c r="H4">
        <v>7</v>
      </c>
      <c r="I4">
        <v>7</v>
      </c>
      <c r="J4">
        <v>7</v>
      </c>
      <c r="K4">
        <v>7</v>
      </c>
      <c r="L4">
        <v>7</v>
      </c>
      <c r="M4">
        <v>7</v>
      </c>
      <c r="N4">
        <v>7</v>
      </c>
      <c r="O4">
        <v>7</v>
      </c>
      <c r="P4">
        <v>7</v>
      </c>
      <c r="Q4" t="s">
        <v>73</v>
      </c>
    </row>
    <row r="5" spans="1:17" x14ac:dyDescent="0.25">
      <c r="A5" t="s">
        <v>1</v>
      </c>
      <c r="B5" t="s">
        <v>8</v>
      </c>
      <c r="C5" t="s">
        <v>8</v>
      </c>
      <c r="D5" t="s">
        <v>8</v>
      </c>
      <c r="E5" t="s">
        <v>8</v>
      </c>
      <c r="F5" t="s">
        <v>8</v>
      </c>
      <c r="G5" t="s">
        <v>8</v>
      </c>
      <c r="H5" t="s">
        <v>8</v>
      </c>
      <c r="I5" t="s">
        <v>8</v>
      </c>
      <c r="J5" t="s">
        <v>8</v>
      </c>
      <c r="K5" t="s">
        <v>8</v>
      </c>
      <c r="L5" t="s">
        <v>8</v>
      </c>
      <c r="M5" t="s">
        <v>8</v>
      </c>
      <c r="N5" t="s">
        <v>8</v>
      </c>
      <c r="O5" t="s">
        <v>8</v>
      </c>
      <c r="P5" t="s">
        <v>8</v>
      </c>
      <c r="Q5" t="s">
        <v>8</v>
      </c>
    </row>
    <row r="6" spans="1:17" x14ac:dyDescent="0.25">
      <c r="A6">
        <v>4</v>
      </c>
      <c r="B6">
        <v>8</v>
      </c>
      <c r="C6">
        <v>8</v>
      </c>
      <c r="D6">
        <v>11</v>
      </c>
      <c r="E6">
        <v>11</v>
      </c>
      <c r="F6">
        <v>10</v>
      </c>
      <c r="G6">
        <v>11</v>
      </c>
      <c r="H6">
        <v>11</v>
      </c>
      <c r="I6">
        <v>8</v>
      </c>
      <c r="J6">
        <v>11</v>
      </c>
      <c r="K6">
        <v>11</v>
      </c>
      <c r="L6">
        <v>11</v>
      </c>
      <c r="M6">
        <v>11</v>
      </c>
      <c r="N6">
        <v>11</v>
      </c>
      <c r="O6">
        <v>11</v>
      </c>
      <c r="P6">
        <v>11</v>
      </c>
      <c r="Q6" t="s">
        <v>73</v>
      </c>
    </row>
    <row r="7" spans="1:17" x14ac:dyDescent="0.25">
      <c r="A7">
        <v>5</v>
      </c>
      <c r="B7">
        <v>10</v>
      </c>
      <c r="C7">
        <v>10</v>
      </c>
      <c r="D7">
        <v>11</v>
      </c>
      <c r="E7">
        <v>11</v>
      </c>
      <c r="F7">
        <v>10</v>
      </c>
      <c r="G7">
        <v>11</v>
      </c>
      <c r="H7">
        <v>10</v>
      </c>
      <c r="I7">
        <v>10</v>
      </c>
      <c r="J7">
        <v>11</v>
      </c>
      <c r="K7">
        <v>11</v>
      </c>
      <c r="L7">
        <v>11</v>
      </c>
      <c r="M7">
        <v>11</v>
      </c>
      <c r="N7">
        <v>11</v>
      </c>
      <c r="O7">
        <v>11</v>
      </c>
      <c r="P7">
        <v>11</v>
      </c>
      <c r="Q7" t="s">
        <v>73</v>
      </c>
    </row>
    <row r="8" spans="1:17" x14ac:dyDescent="0.25">
      <c r="A8">
        <v>6</v>
      </c>
      <c r="B8">
        <v>10</v>
      </c>
      <c r="C8">
        <v>10</v>
      </c>
      <c r="D8">
        <v>10</v>
      </c>
      <c r="E8">
        <v>10</v>
      </c>
      <c r="F8">
        <v>10</v>
      </c>
      <c r="G8" t="s">
        <v>41</v>
      </c>
      <c r="H8">
        <v>10</v>
      </c>
      <c r="I8">
        <v>10</v>
      </c>
      <c r="J8">
        <v>10</v>
      </c>
      <c r="K8">
        <v>10</v>
      </c>
      <c r="L8">
        <v>10</v>
      </c>
      <c r="M8">
        <v>10</v>
      </c>
      <c r="N8">
        <v>10</v>
      </c>
      <c r="O8" t="s">
        <v>41</v>
      </c>
      <c r="P8">
        <v>10</v>
      </c>
      <c r="Q8" t="s">
        <v>73</v>
      </c>
    </row>
    <row r="9" spans="1:17" x14ac:dyDescent="0.25">
      <c r="A9">
        <v>7</v>
      </c>
      <c r="B9">
        <v>10</v>
      </c>
      <c r="C9">
        <v>10</v>
      </c>
      <c r="D9">
        <v>10</v>
      </c>
      <c r="E9" t="s">
        <v>41</v>
      </c>
      <c r="F9">
        <v>10</v>
      </c>
      <c r="G9">
        <v>10</v>
      </c>
      <c r="H9">
        <v>10</v>
      </c>
      <c r="I9">
        <v>10</v>
      </c>
      <c r="J9">
        <v>10</v>
      </c>
      <c r="K9">
        <v>10</v>
      </c>
      <c r="L9">
        <v>10</v>
      </c>
      <c r="M9">
        <v>10</v>
      </c>
      <c r="N9">
        <v>10</v>
      </c>
      <c r="O9">
        <v>10</v>
      </c>
      <c r="P9">
        <v>10</v>
      </c>
      <c r="Q9" t="s">
        <v>73</v>
      </c>
    </row>
    <row r="10" spans="1:17" x14ac:dyDescent="0.25">
      <c r="A10">
        <v>8</v>
      </c>
      <c r="B10">
        <v>10</v>
      </c>
      <c r="C10">
        <v>10</v>
      </c>
      <c r="D10">
        <v>10</v>
      </c>
      <c r="E10">
        <v>10</v>
      </c>
      <c r="F10">
        <v>10</v>
      </c>
      <c r="G10">
        <v>10</v>
      </c>
      <c r="H10">
        <v>10</v>
      </c>
      <c r="I10">
        <v>10</v>
      </c>
      <c r="J10">
        <v>10</v>
      </c>
      <c r="K10">
        <v>10</v>
      </c>
      <c r="L10">
        <v>10</v>
      </c>
      <c r="M10">
        <v>10</v>
      </c>
      <c r="N10">
        <v>10</v>
      </c>
      <c r="O10">
        <v>10</v>
      </c>
      <c r="P10">
        <v>10</v>
      </c>
      <c r="Q10" t="s">
        <v>73</v>
      </c>
    </row>
    <row r="11" spans="1:17" x14ac:dyDescent="0.25">
      <c r="A11">
        <v>9</v>
      </c>
      <c r="B11" t="s">
        <v>45</v>
      </c>
      <c r="C11" t="s">
        <v>45</v>
      </c>
      <c r="D11" t="s">
        <v>45</v>
      </c>
      <c r="E11" t="s">
        <v>45</v>
      </c>
      <c r="F11" t="s">
        <v>45</v>
      </c>
      <c r="G11" t="s">
        <v>45</v>
      </c>
      <c r="H11" t="s">
        <v>45</v>
      </c>
      <c r="I11" t="s">
        <v>45</v>
      </c>
      <c r="J11" t="s">
        <v>45</v>
      </c>
      <c r="K11" t="s">
        <v>45</v>
      </c>
      <c r="L11" t="s">
        <v>45</v>
      </c>
      <c r="M11" t="s">
        <v>45</v>
      </c>
      <c r="N11" t="s">
        <v>45</v>
      </c>
      <c r="O11" t="s">
        <v>45</v>
      </c>
      <c r="P11" t="s">
        <v>45</v>
      </c>
      <c r="Q11" t="s">
        <v>73</v>
      </c>
    </row>
    <row r="12" spans="1:17" x14ac:dyDescent="0.25">
      <c r="A12" t="s">
        <v>2</v>
      </c>
      <c r="B12" t="s">
        <v>8</v>
      </c>
      <c r="C12" t="s">
        <v>8</v>
      </c>
      <c r="D12" t="s">
        <v>8</v>
      </c>
      <c r="E12" t="s">
        <v>8</v>
      </c>
      <c r="F12" t="s">
        <v>8</v>
      </c>
      <c r="G12" t="s">
        <v>8</v>
      </c>
      <c r="H12" t="s">
        <v>8</v>
      </c>
      <c r="I12" t="s">
        <v>8</v>
      </c>
      <c r="J12" t="s">
        <v>8</v>
      </c>
      <c r="K12" t="s">
        <v>8</v>
      </c>
      <c r="L12" t="s">
        <v>8</v>
      </c>
      <c r="M12" t="s">
        <v>8</v>
      </c>
      <c r="N12" t="s">
        <v>8</v>
      </c>
      <c r="O12" t="s">
        <v>8</v>
      </c>
      <c r="P12" t="s">
        <v>8</v>
      </c>
      <c r="Q12" t="s">
        <v>8</v>
      </c>
    </row>
    <row r="13" spans="1:17" x14ac:dyDescent="0.25">
      <c r="A13">
        <v>11</v>
      </c>
      <c r="B13">
        <v>10</v>
      </c>
      <c r="C13">
        <v>10</v>
      </c>
      <c r="D13" t="s">
        <v>41</v>
      </c>
      <c r="E13">
        <v>10</v>
      </c>
      <c r="F13">
        <v>10</v>
      </c>
      <c r="G13">
        <v>10</v>
      </c>
      <c r="H13">
        <v>10</v>
      </c>
      <c r="I13">
        <v>10</v>
      </c>
      <c r="J13">
        <v>10</v>
      </c>
      <c r="K13">
        <v>10</v>
      </c>
      <c r="L13">
        <v>10</v>
      </c>
      <c r="M13">
        <v>10</v>
      </c>
      <c r="N13">
        <v>10</v>
      </c>
      <c r="O13">
        <v>10</v>
      </c>
      <c r="P13">
        <v>10</v>
      </c>
      <c r="Q13" t="s">
        <v>73</v>
      </c>
    </row>
    <row r="14" spans="1:17" x14ac:dyDescent="0.25">
      <c r="A14">
        <v>12</v>
      </c>
      <c r="B14">
        <v>10</v>
      </c>
      <c r="C14">
        <v>10</v>
      </c>
      <c r="D14">
        <v>10</v>
      </c>
      <c r="E14">
        <v>10</v>
      </c>
      <c r="F14">
        <v>10</v>
      </c>
      <c r="G14">
        <v>10</v>
      </c>
      <c r="H14">
        <v>10</v>
      </c>
      <c r="I14">
        <v>10</v>
      </c>
      <c r="J14">
        <v>10</v>
      </c>
      <c r="K14">
        <v>10</v>
      </c>
      <c r="L14">
        <v>10</v>
      </c>
      <c r="M14">
        <v>10</v>
      </c>
      <c r="N14">
        <v>10</v>
      </c>
      <c r="O14">
        <v>10</v>
      </c>
      <c r="P14">
        <v>10</v>
      </c>
      <c r="Q14" t="s">
        <v>73</v>
      </c>
    </row>
    <row r="15" spans="1:17" x14ac:dyDescent="0.25">
      <c r="A15">
        <v>13</v>
      </c>
      <c r="B15" t="s">
        <v>45</v>
      </c>
      <c r="C15" t="s">
        <v>45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45</v>
      </c>
      <c r="K15" t="s">
        <v>45</v>
      </c>
      <c r="L15" t="s">
        <v>45</v>
      </c>
      <c r="M15" t="s">
        <v>45</v>
      </c>
      <c r="N15" t="s">
        <v>45</v>
      </c>
      <c r="O15" t="s">
        <v>45</v>
      </c>
      <c r="P15" t="s">
        <v>45</v>
      </c>
      <c r="Q15" t="s">
        <v>73</v>
      </c>
    </row>
    <row r="16" spans="1:17" x14ac:dyDescent="0.25">
      <c r="A16">
        <v>14</v>
      </c>
      <c r="B16">
        <v>10</v>
      </c>
      <c r="C16">
        <v>10</v>
      </c>
      <c r="D16">
        <v>10</v>
      </c>
      <c r="E16">
        <v>10</v>
      </c>
      <c r="F16">
        <v>10</v>
      </c>
      <c r="G16">
        <v>10</v>
      </c>
      <c r="H16">
        <v>10</v>
      </c>
      <c r="I16">
        <v>10</v>
      </c>
      <c r="J16">
        <v>10</v>
      </c>
      <c r="K16" t="s">
        <v>41</v>
      </c>
      <c r="L16">
        <v>10</v>
      </c>
      <c r="M16">
        <v>10</v>
      </c>
      <c r="N16">
        <v>10</v>
      </c>
      <c r="O16">
        <v>10</v>
      </c>
      <c r="P16">
        <v>10</v>
      </c>
      <c r="Q16">
        <v>10</v>
      </c>
    </row>
    <row r="17" spans="1:17" x14ac:dyDescent="0.25">
      <c r="A17">
        <v>15</v>
      </c>
      <c r="B17">
        <v>10</v>
      </c>
      <c r="C17">
        <v>10</v>
      </c>
      <c r="D17">
        <v>10</v>
      </c>
      <c r="E17">
        <v>10</v>
      </c>
      <c r="F17">
        <v>10</v>
      </c>
      <c r="G17">
        <v>10</v>
      </c>
      <c r="H17">
        <v>10</v>
      </c>
      <c r="I17">
        <v>10</v>
      </c>
      <c r="J17">
        <v>10</v>
      </c>
      <c r="K17" t="s">
        <v>41</v>
      </c>
      <c r="L17">
        <v>10</v>
      </c>
      <c r="M17">
        <v>10</v>
      </c>
      <c r="N17">
        <v>10</v>
      </c>
      <c r="O17">
        <v>10</v>
      </c>
      <c r="P17">
        <v>10</v>
      </c>
      <c r="Q17">
        <v>10</v>
      </c>
    </row>
    <row r="18" spans="1:17" x14ac:dyDescent="0.25">
      <c r="A18">
        <v>16</v>
      </c>
      <c r="C18">
        <v>7</v>
      </c>
      <c r="D18">
        <v>7</v>
      </c>
      <c r="E18">
        <v>7</v>
      </c>
      <c r="G18">
        <v>7</v>
      </c>
      <c r="J18">
        <v>7</v>
      </c>
      <c r="K18" t="s">
        <v>41</v>
      </c>
      <c r="L18">
        <v>7</v>
      </c>
      <c r="M18">
        <v>7</v>
      </c>
      <c r="N18">
        <v>7</v>
      </c>
      <c r="P18">
        <v>7</v>
      </c>
      <c r="Q18">
        <v>7</v>
      </c>
    </row>
    <row r="19" spans="1:17" x14ac:dyDescent="0.25">
      <c r="A19" t="s">
        <v>3</v>
      </c>
      <c r="B19" t="s">
        <v>8</v>
      </c>
      <c r="C19" t="s">
        <v>8</v>
      </c>
      <c r="D19" t="s">
        <v>8</v>
      </c>
      <c r="E19" t="s">
        <v>8</v>
      </c>
      <c r="F19" t="s">
        <v>8</v>
      </c>
      <c r="G19" t="s">
        <v>8</v>
      </c>
      <c r="H19" t="s">
        <v>8</v>
      </c>
      <c r="I19" t="s">
        <v>8</v>
      </c>
      <c r="J19" t="s">
        <v>8</v>
      </c>
      <c r="K19" t="s">
        <v>8</v>
      </c>
      <c r="L19" t="s">
        <v>8</v>
      </c>
      <c r="M19" t="s">
        <v>8</v>
      </c>
      <c r="N19" t="s">
        <v>8</v>
      </c>
      <c r="O19" t="s">
        <v>8</v>
      </c>
      <c r="P19" t="s">
        <v>8</v>
      </c>
      <c r="Q19" t="s">
        <v>8</v>
      </c>
    </row>
    <row r="20" spans="1:17" x14ac:dyDescent="0.25">
      <c r="A20">
        <v>18</v>
      </c>
      <c r="B20">
        <v>10</v>
      </c>
      <c r="C20">
        <v>10</v>
      </c>
      <c r="D20">
        <v>10</v>
      </c>
      <c r="E20">
        <v>4</v>
      </c>
      <c r="F20">
        <v>10</v>
      </c>
      <c r="G20">
        <v>10</v>
      </c>
      <c r="H20">
        <v>10</v>
      </c>
      <c r="I20">
        <v>10</v>
      </c>
      <c r="J20">
        <v>10</v>
      </c>
      <c r="K20">
        <v>10</v>
      </c>
      <c r="L20">
        <v>10</v>
      </c>
      <c r="M20">
        <v>10</v>
      </c>
      <c r="N20">
        <v>10</v>
      </c>
      <c r="O20">
        <v>10</v>
      </c>
      <c r="P20">
        <v>10</v>
      </c>
      <c r="Q20">
        <v>10</v>
      </c>
    </row>
    <row r="21" spans="1:17" x14ac:dyDescent="0.25">
      <c r="A21">
        <v>19</v>
      </c>
      <c r="B21">
        <v>10</v>
      </c>
      <c r="C21">
        <v>10</v>
      </c>
      <c r="D21">
        <v>10</v>
      </c>
      <c r="E21">
        <v>4</v>
      </c>
      <c r="F21">
        <v>10</v>
      </c>
      <c r="G21">
        <v>10</v>
      </c>
      <c r="H21">
        <v>10</v>
      </c>
      <c r="I21">
        <v>10</v>
      </c>
      <c r="J21">
        <v>10</v>
      </c>
      <c r="K21">
        <v>10</v>
      </c>
      <c r="L21">
        <v>10</v>
      </c>
      <c r="M21">
        <v>10</v>
      </c>
      <c r="N21">
        <v>10</v>
      </c>
      <c r="O21">
        <v>10</v>
      </c>
      <c r="P21">
        <v>10</v>
      </c>
      <c r="Q21">
        <v>10</v>
      </c>
    </row>
    <row r="22" spans="1:17" x14ac:dyDescent="0.25">
      <c r="A22">
        <v>20</v>
      </c>
      <c r="B22">
        <v>10</v>
      </c>
      <c r="C22">
        <v>10</v>
      </c>
      <c r="D22">
        <v>10</v>
      </c>
      <c r="E22">
        <v>10</v>
      </c>
      <c r="F22">
        <v>10</v>
      </c>
      <c r="G22">
        <v>10</v>
      </c>
      <c r="H22">
        <v>10</v>
      </c>
      <c r="I22">
        <v>10</v>
      </c>
      <c r="J22">
        <v>10</v>
      </c>
      <c r="K22">
        <v>10</v>
      </c>
      <c r="L22">
        <v>10</v>
      </c>
      <c r="M22">
        <v>10</v>
      </c>
      <c r="N22">
        <v>10</v>
      </c>
      <c r="O22">
        <v>10</v>
      </c>
      <c r="P22">
        <v>10</v>
      </c>
      <c r="Q22">
        <v>10</v>
      </c>
    </row>
    <row r="23" spans="1:17" x14ac:dyDescent="0.25">
      <c r="A23">
        <v>21</v>
      </c>
      <c r="B23">
        <v>10</v>
      </c>
      <c r="C23">
        <v>10</v>
      </c>
      <c r="D23">
        <v>10</v>
      </c>
      <c r="E23">
        <v>10</v>
      </c>
      <c r="F23">
        <v>10</v>
      </c>
      <c r="G23">
        <v>10</v>
      </c>
      <c r="H23">
        <v>10</v>
      </c>
      <c r="I23">
        <v>10</v>
      </c>
      <c r="J23">
        <v>10</v>
      </c>
      <c r="K23">
        <v>10</v>
      </c>
      <c r="L23">
        <v>10</v>
      </c>
      <c r="M23">
        <v>10</v>
      </c>
      <c r="N23">
        <v>10</v>
      </c>
      <c r="O23" t="s">
        <v>41</v>
      </c>
      <c r="P23">
        <v>10</v>
      </c>
      <c r="Q23">
        <v>10</v>
      </c>
    </row>
    <row r="24" spans="1:17" x14ac:dyDescent="0.25">
      <c r="A24">
        <v>22</v>
      </c>
      <c r="B24">
        <v>10</v>
      </c>
      <c r="C24">
        <v>10</v>
      </c>
      <c r="D24">
        <v>10</v>
      </c>
      <c r="E24">
        <v>10</v>
      </c>
      <c r="F24">
        <v>11</v>
      </c>
      <c r="G24">
        <v>10</v>
      </c>
      <c r="H24">
        <v>10</v>
      </c>
      <c r="I24">
        <v>10</v>
      </c>
      <c r="J24">
        <v>10</v>
      </c>
      <c r="K24">
        <v>10</v>
      </c>
      <c r="L24">
        <v>10</v>
      </c>
      <c r="M24">
        <v>10</v>
      </c>
      <c r="N24">
        <v>10</v>
      </c>
      <c r="O24">
        <v>10</v>
      </c>
      <c r="P24">
        <v>10</v>
      </c>
      <c r="Q24">
        <v>10</v>
      </c>
    </row>
    <row r="25" spans="1:17" x14ac:dyDescent="0.25">
      <c r="A25">
        <v>23</v>
      </c>
      <c r="B25">
        <v>7</v>
      </c>
      <c r="C25">
        <v>7</v>
      </c>
      <c r="D25">
        <v>7</v>
      </c>
      <c r="E25">
        <v>7</v>
      </c>
      <c r="F25">
        <v>7</v>
      </c>
      <c r="G25">
        <v>7</v>
      </c>
      <c r="H25">
        <v>7</v>
      </c>
      <c r="I25">
        <v>7</v>
      </c>
      <c r="J25">
        <v>7</v>
      </c>
      <c r="K25">
        <v>7</v>
      </c>
      <c r="L25">
        <v>7</v>
      </c>
      <c r="M25">
        <v>7</v>
      </c>
      <c r="N25">
        <v>7</v>
      </c>
      <c r="O25">
        <v>7</v>
      </c>
      <c r="P25">
        <v>7</v>
      </c>
      <c r="Q25">
        <v>7</v>
      </c>
    </row>
    <row r="26" spans="1:17" x14ac:dyDescent="0.25">
      <c r="A26" t="s">
        <v>4</v>
      </c>
      <c r="B26" t="s">
        <v>8</v>
      </c>
      <c r="C26" t="s">
        <v>8</v>
      </c>
      <c r="D26" t="s">
        <v>8</v>
      </c>
      <c r="E26" t="s">
        <v>8</v>
      </c>
      <c r="F26" t="s">
        <v>8</v>
      </c>
      <c r="G26" t="s">
        <v>8</v>
      </c>
      <c r="H26" t="s">
        <v>8</v>
      </c>
      <c r="I26" t="s">
        <v>8</v>
      </c>
      <c r="J26" t="s">
        <v>8</v>
      </c>
      <c r="K26" t="s">
        <v>8</v>
      </c>
      <c r="L26" t="s">
        <v>8</v>
      </c>
      <c r="M26" t="s">
        <v>8</v>
      </c>
      <c r="N26" t="s">
        <v>8</v>
      </c>
      <c r="O26" t="s">
        <v>8</v>
      </c>
      <c r="P26" t="s">
        <v>8</v>
      </c>
      <c r="Q26" t="s">
        <v>8</v>
      </c>
    </row>
    <row r="27" spans="1:17" x14ac:dyDescent="0.25">
      <c r="A27">
        <v>25</v>
      </c>
      <c r="B27">
        <v>10</v>
      </c>
      <c r="C27">
        <v>10</v>
      </c>
      <c r="D27">
        <v>10</v>
      </c>
      <c r="E27">
        <v>5</v>
      </c>
      <c r="F27">
        <v>10</v>
      </c>
      <c r="G27">
        <v>10</v>
      </c>
      <c r="H27">
        <v>10</v>
      </c>
      <c r="I27">
        <v>10</v>
      </c>
      <c r="J27">
        <v>10</v>
      </c>
      <c r="K27">
        <v>10</v>
      </c>
      <c r="L27">
        <v>10</v>
      </c>
      <c r="M27">
        <v>11</v>
      </c>
      <c r="N27">
        <v>10</v>
      </c>
      <c r="O27">
        <v>10</v>
      </c>
      <c r="P27">
        <v>10</v>
      </c>
      <c r="Q27">
        <v>10</v>
      </c>
    </row>
    <row r="28" spans="1:17" x14ac:dyDescent="0.25">
      <c r="A28">
        <v>26</v>
      </c>
      <c r="B28">
        <v>12</v>
      </c>
      <c r="C28">
        <v>12</v>
      </c>
      <c r="D28">
        <v>12</v>
      </c>
      <c r="E28">
        <v>12</v>
      </c>
      <c r="F28">
        <v>10</v>
      </c>
      <c r="G28">
        <v>12</v>
      </c>
      <c r="H28">
        <v>10</v>
      </c>
      <c r="I28">
        <v>10</v>
      </c>
      <c r="J28">
        <v>12</v>
      </c>
      <c r="K28">
        <v>12</v>
      </c>
      <c r="L28">
        <v>10</v>
      </c>
      <c r="M28">
        <v>12</v>
      </c>
      <c r="N28">
        <v>10</v>
      </c>
      <c r="O28">
        <v>12</v>
      </c>
      <c r="P28">
        <v>12</v>
      </c>
      <c r="Q28">
        <v>12</v>
      </c>
    </row>
    <row r="29" spans="1:17" x14ac:dyDescent="0.25">
      <c r="A29">
        <v>27</v>
      </c>
      <c r="B29">
        <v>12</v>
      </c>
      <c r="C29">
        <v>12</v>
      </c>
      <c r="D29">
        <v>12</v>
      </c>
      <c r="E29">
        <v>12</v>
      </c>
      <c r="F29">
        <v>10</v>
      </c>
      <c r="G29">
        <v>12</v>
      </c>
      <c r="H29">
        <v>10</v>
      </c>
      <c r="I29">
        <v>10</v>
      </c>
      <c r="J29">
        <v>12</v>
      </c>
      <c r="K29">
        <v>12</v>
      </c>
      <c r="L29">
        <v>10</v>
      </c>
      <c r="M29">
        <v>12</v>
      </c>
      <c r="N29">
        <v>10</v>
      </c>
      <c r="O29">
        <v>12</v>
      </c>
      <c r="P29">
        <v>12</v>
      </c>
      <c r="Q29">
        <v>12</v>
      </c>
    </row>
    <row r="30" spans="1:17" x14ac:dyDescent="0.25">
      <c r="A30">
        <v>28</v>
      </c>
      <c r="B30">
        <v>10</v>
      </c>
      <c r="C30">
        <v>10</v>
      </c>
      <c r="D30">
        <v>10</v>
      </c>
      <c r="E30">
        <v>10</v>
      </c>
      <c r="F30">
        <v>10</v>
      </c>
      <c r="G30">
        <v>10</v>
      </c>
      <c r="H30">
        <v>10</v>
      </c>
      <c r="I30">
        <v>10</v>
      </c>
      <c r="J30">
        <v>10</v>
      </c>
      <c r="K30">
        <v>10</v>
      </c>
      <c r="L30">
        <v>10</v>
      </c>
      <c r="M30">
        <v>10</v>
      </c>
      <c r="N30">
        <v>12</v>
      </c>
      <c r="O30">
        <v>10</v>
      </c>
      <c r="P30">
        <v>10</v>
      </c>
      <c r="Q30">
        <v>10</v>
      </c>
    </row>
    <row r="31" spans="1:17" x14ac:dyDescent="0.25">
      <c r="A31">
        <v>29</v>
      </c>
      <c r="B31">
        <v>10</v>
      </c>
      <c r="C31">
        <v>10</v>
      </c>
      <c r="D31">
        <v>10</v>
      </c>
      <c r="E31">
        <v>6</v>
      </c>
      <c r="F31">
        <v>10</v>
      </c>
      <c r="G31">
        <v>10</v>
      </c>
      <c r="H31">
        <v>10</v>
      </c>
      <c r="I31">
        <v>10</v>
      </c>
      <c r="J31">
        <v>10</v>
      </c>
      <c r="K31">
        <v>10</v>
      </c>
      <c r="L31">
        <v>10</v>
      </c>
      <c r="M31">
        <v>10</v>
      </c>
      <c r="N31">
        <v>10</v>
      </c>
      <c r="O31">
        <v>10</v>
      </c>
      <c r="P31">
        <v>10</v>
      </c>
      <c r="Q31">
        <v>10</v>
      </c>
    </row>
    <row r="32" spans="1:17" x14ac:dyDescent="0.25">
      <c r="A32">
        <v>30</v>
      </c>
      <c r="B32">
        <v>7</v>
      </c>
      <c r="C32">
        <v>7</v>
      </c>
      <c r="D32">
        <v>7</v>
      </c>
      <c r="E32">
        <v>7</v>
      </c>
      <c r="F32">
        <v>7</v>
      </c>
      <c r="G32">
        <v>7</v>
      </c>
      <c r="H32">
        <v>7</v>
      </c>
      <c r="I32">
        <v>7</v>
      </c>
      <c r="J32">
        <v>7</v>
      </c>
      <c r="K32">
        <v>7</v>
      </c>
      <c r="L32">
        <v>7</v>
      </c>
      <c r="M32">
        <v>7</v>
      </c>
      <c r="N32">
        <v>7</v>
      </c>
      <c r="O32">
        <v>7</v>
      </c>
      <c r="P32">
        <v>7</v>
      </c>
      <c r="Q32">
        <v>7</v>
      </c>
    </row>
    <row r="33" spans="1:17" x14ac:dyDescent="0.25">
      <c r="A33" t="s">
        <v>5</v>
      </c>
      <c r="B33" t="s">
        <v>8</v>
      </c>
      <c r="C33" t="s">
        <v>8</v>
      </c>
      <c r="D33" t="s">
        <v>8</v>
      </c>
      <c r="E33" t="s">
        <v>8</v>
      </c>
      <c r="F33" t="s">
        <v>8</v>
      </c>
      <c r="G33" t="s">
        <v>8</v>
      </c>
      <c r="H33" t="s">
        <v>8</v>
      </c>
      <c r="I33" t="s">
        <v>8</v>
      </c>
      <c r="J33" t="s">
        <v>8</v>
      </c>
      <c r="K33" t="s">
        <v>8</v>
      </c>
      <c r="L33" t="s">
        <v>8</v>
      </c>
      <c r="M33" t="s">
        <v>8</v>
      </c>
      <c r="N33" t="s">
        <v>8</v>
      </c>
      <c r="O33" t="s">
        <v>8</v>
      </c>
      <c r="P33" t="s">
        <v>8</v>
      </c>
      <c r="Q33" t="s">
        <v>8</v>
      </c>
    </row>
    <row r="34" spans="1:17" x14ac:dyDescent="0.25">
      <c r="A34" t="s">
        <v>6</v>
      </c>
      <c r="B34" s="2">
        <f t="shared" ref="B34:Q34" si="0">SUM(B3:B33)</f>
        <v>223</v>
      </c>
      <c r="C34" s="2">
        <f t="shared" si="0"/>
        <v>230</v>
      </c>
      <c r="D34" s="2">
        <f t="shared" si="0"/>
        <v>214</v>
      </c>
      <c r="E34" s="2">
        <f t="shared" si="0"/>
        <v>193</v>
      </c>
      <c r="F34" s="2">
        <f t="shared" si="0"/>
        <v>212</v>
      </c>
      <c r="G34" s="2">
        <f t="shared" si="0"/>
        <v>214</v>
      </c>
      <c r="H34" s="2">
        <f t="shared" si="0"/>
        <v>212</v>
      </c>
      <c r="I34" s="2">
        <f t="shared" si="0"/>
        <v>219</v>
      </c>
      <c r="J34" s="2">
        <f t="shared" si="0"/>
        <v>224</v>
      </c>
      <c r="K34" s="2">
        <f t="shared" si="0"/>
        <v>197</v>
      </c>
      <c r="L34" s="2">
        <f t="shared" si="0"/>
        <v>220</v>
      </c>
      <c r="M34" s="2">
        <f t="shared" si="0"/>
        <v>225</v>
      </c>
      <c r="N34" s="2">
        <f t="shared" si="0"/>
        <v>222</v>
      </c>
      <c r="O34" s="2">
        <f t="shared" si="0"/>
        <v>197</v>
      </c>
      <c r="P34" s="2">
        <f t="shared" si="0"/>
        <v>224</v>
      </c>
      <c r="Q34" s="2">
        <f t="shared" si="0"/>
        <v>145</v>
      </c>
    </row>
  </sheetData>
  <conditionalFormatting sqref="A1:XFD1">
    <cfRule type="duplicateValues" dxfId="17" priority="1"/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4C93D-0B68-424F-81ED-A833E02DDB80}">
  <sheetPr>
    <tabColor theme="6" tint="0.79998168889431442"/>
  </sheetPr>
  <dimension ref="A1:B34"/>
  <sheetViews>
    <sheetView rightToLeft="1" topLeftCell="A13" workbookViewId="0">
      <selection activeCell="B1" sqref="B1"/>
    </sheetView>
  </sheetViews>
  <sheetFormatPr defaultRowHeight="13.8" x14ac:dyDescent="0.25"/>
  <sheetData>
    <row r="1" spans="1:2" x14ac:dyDescent="0.25">
      <c r="A1" t="s">
        <v>0</v>
      </c>
      <c r="B1" s="8" t="s">
        <v>210</v>
      </c>
    </row>
    <row r="2" spans="1:2" x14ac:dyDescent="0.25">
      <c r="B2" t="s">
        <v>237</v>
      </c>
    </row>
    <row r="3" spans="1:2" x14ac:dyDescent="0.25">
      <c r="A3">
        <v>1</v>
      </c>
      <c r="B3">
        <v>7.5</v>
      </c>
    </row>
    <row r="4" spans="1:2" x14ac:dyDescent="0.25">
      <c r="A4">
        <v>2</v>
      </c>
      <c r="B4" t="s">
        <v>74</v>
      </c>
    </row>
    <row r="5" spans="1:2" x14ac:dyDescent="0.25">
      <c r="A5" t="s">
        <v>1</v>
      </c>
      <c r="B5" t="s">
        <v>8</v>
      </c>
    </row>
    <row r="6" spans="1:2" x14ac:dyDescent="0.25">
      <c r="A6">
        <v>4</v>
      </c>
      <c r="B6">
        <v>8</v>
      </c>
    </row>
    <row r="7" spans="1:2" x14ac:dyDescent="0.25">
      <c r="A7">
        <v>5</v>
      </c>
      <c r="B7">
        <v>8.5</v>
      </c>
    </row>
    <row r="8" spans="1:2" x14ac:dyDescent="0.25">
      <c r="A8">
        <v>6</v>
      </c>
      <c r="B8">
        <v>8.5</v>
      </c>
    </row>
    <row r="9" spans="1:2" x14ac:dyDescent="0.25">
      <c r="A9">
        <v>7</v>
      </c>
      <c r="B9">
        <v>8.75</v>
      </c>
    </row>
    <row r="10" spans="1:2" x14ac:dyDescent="0.25">
      <c r="A10">
        <v>8</v>
      </c>
      <c r="B10">
        <v>8.5</v>
      </c>
    </row>
    <row r="11" spans="1:2" x14ac:dyDescent="0.25">
      <c r="A11">
        <v>9</v>
      </c>
      <c r="B11">
        <v>7</v>
      </c>
    </row>
    <row r="12" spans="1:2" x14ac:dyDescent="0.25">
      <c r="A12" t="s">
        <v>2</v>
      </c>
      <c r="B12" t="s">
        <v>8</v>
      </c>
    </row>
    <row r="13" spans="1:2" x14ac:dyDescent="0.25">
      <c r="A13">
        <v>11</v>
      </c>
      <c r="B13">
        <v>8</v>
      </c>
    </row>
    <row r="14" spans="1:2" x14ac:dyDescent="0.25">
      <c r="A14">
        <v>12</v>
      </c>
      <c r="B14">
        <v>8</v>
      </c>
    </row>
    <row r="15" spans="1:2" x14ac:dyDescent="0.25">
      <c r="A15">
        <v>13</v>
      </c>
      <c r="B15" t="s">
        <v>41</v>
      </c>
    </row>
    <row r="16" spans="1:2" x14ac:dyDescent="0.25">
      <c r="A16">
        <v>14</v>
      </c>
      <c r="B16">
        <v>9</v>
      </c>
    </row>
    <row r="17" spans="1:2" x14ac:dyDescent="0.25">
      <c r="A17">
        <v>15</v>
      </c>
      <c r="B17">
        <v>9</v>
      </c>
    </row>
    <row r="18" spans="1:2" x14ac:dyDescent="0.25">
      <c r="A18">
        <v>16</v>
      </c>
      <c r="B18">
        <v>8</v>
      </c>
    </row>
    <row r="19" spans="1:2" x14ac:dyDescent="0.25">
      <c r="A19" t="s">
        <v>3</v>
      </c>
      <c r="B19" t="s">
        <v>8</v>
      </c>
    </row>
    <row r="20" spans="1:2" x14ac:dyDescent="0.25">
      <c r="A20">
        <v>18</v>
      </c>
      <c r="B20">
        <v>8</v>
      </c>
    </row>
    <row r="21" spans="1:2" x14ac:dyDescent="0.25">
      <c r="A21">
        <v>19</v>
      </c>
      <c r="B21">
        <v>8</v>
      </c>
    </row>
    <row r="22" spans="1:2" x14ac:dyDescent="0.25">
      <c r="A22">
        <v>20</v>
      </c>
      <c r="B22">
        <v>8</v>
      </c>
    </row>
    <row r="23" spans="1:2" x14ac:dyDescent="0.25">
      <c r="A23">
        <v>21</v>
      </c>
      <c r="B23">
        <v>8</v>
      </c>
    </row>
    <row r="24" spans="1:2" x14ac:dyDescent="0.25">
      <c r="A24">
        <v>22</v>
      </c>
      <c r="B24">
        <v>8</v>
      </c>
    </row>
    <row r="25" spans="1:2" x14ac:dyDescent="0.25">
      <c r="A25">
        <v>23</v>
      </c>
      <c r="B25">
        <v>7</v>
      </c>
    </row>
    <row r="26" spans="1:2" x14ac:dyDescent="0.25">
      <c r="A26" t="s">
        <v>4</v>
      </c>
      <c r="B26" t="s">
        <v>8</v>
      </c>
    </row>
    <row r="27" spans="1:2" x14ac:dyDescent="0.25">
      <c r="A27">
        <v>25</v>
      </c>
      <c r="B27">
        <v>8</v>
      </c>
    </row>
    <row r="28" spans="1:2" x14ac:dyDescent="0.25">
      <c r="A28">
        <v>26</v>
      </c>
      <c r="B28">
        <v>9.5</v>
      </c>
    </row>
    <row r="29" spans="1:2" x14ac:dyDescent="0.25">
      <c r="A29">
        <v>27</v>
      </c>
      <c r="B29">
        <v>9</v>
      </c>
    </row>
    <row r="30" spans="1:2" x14ac:dyDescent="0.25">
      <c r="A30">
        <v>28</v>
      </c>
      <c r="B30">
        <v>8</v>
      </c>
    </row>
    <row r="31" spans="1:2" x14ac:dyDescent="0.25">
      <c r="A31">
        <v>29</v>
      </c>
      <c r="B31">
        <v>9</v>
      </c>
    </row>
    <row r="32" spans="1:2" x14ac:dyDescent="0.25">
      <c r="A32">
        <v>30</v>
      </c>
      <c r="B32">
        <v>8</v>
      </c>
    </row>
    <row r="33" spans="1:2" x14ac:dyDescent="0.25">
      <c r="A33" t="s">
        <v>5</v>
      </c>
      <c r="B33" t="s">
        <v>8</v>
      </c>
    </row>
    <row r="34" spans="1:2" x14ac:dyDescent="0.25">
      <c r="A34" t="s">
        <v>6</v>
      </c>
      <c r="B34">
        <f>SUM(B3:B33)</f>
        <v>197.25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0260D-822C-4F64-9425-9D281AE90D8F}">
  <sheetPr>
    <tabColor theme="6" tint="0.79998168889431442"/>
  </sheetPr>
  <dimension ref="A1:E34"/>
  <sheetViews>
    <sheetView rightToLeft="1" workbookViewId="0">
      <pane ySplit="1" topLeftCell="A29" activePane="bottomLeft" state="frozen"/>
      <selection pane="bottomLeft" activeCell="D1" sqref="D1"/>
    </sheetView>
  </sheetViews>
  <sheetFormatPr defaultRowHeight="13.8" x14ac:dyDescent="0.25"/>
  <sheetData>
    <row r="1" spans="1:5" x14ac:dyDescent="0.25">
      <c r="A1" t="s">
        <v>0</v>
      </c>
      <c r="B1" t="s">
        <v>75</v>
      </c>
      <c r="C1" t="s">
        <v>77</v>
      </c>
      <c r="D1" t="s">
        <v>79</v>
      </c>
      <c r="E1" t="s">
        <v>81</v>
      </c>
    </row>
    <row r="2" spans="1:5" x14ac:dyDescent="0.25">
      <c r="B2" t="s">
        <v>76</v>
      </c>
      <c r="C2" t="s">
        <v>78</v>
      </c>
      <c r="D2" t="s">
        <v>80</v>
      </c>
      <c r="E2" t="s">
        <v>82</v>
      </c>
    </row>
    <row r="3" spans="1:5" x14ac:dyDescent="0.25">
      <c r="A3">
        <v>1</v>
      </c>
      <c r="B3">
        <v>9.5</v>
      </c>
      <c r="C3">
        <v>9.5</v>
      </c>
      <c r="D3">
        <v>9.5</v>
      </c>
      <c r="E3">
        <v>9.5</v>
      </c>
    </row>
    <row r="4" spans="1:5" x14ac:dyDescent="0.25">
      <c r="A4">
        <v>2</v>
      </c>
      <c r="B4" t="s">
        <v>74</v>
      </c>
      <c r="C4" t="s">
        <v>74</v>
      </c>
      <c r="D4" t="s">
        <v>74</v>
      </c>
      <c r="E4" t="s">
        <v>74</v>
      </c>
    </row>
    <row r="5" spans="1:5" x14ac:dyDescent="0.25">
      <c r="A5" t="s">
        <v>1</v>
      </c>
      <c r="B5" t="s">
        <v>8</v>
      </c>
      <c r="C5" t="s">
        <v>8</v>
      </c>
      <c r="D5" t="s">
        <v>8</v>
      </c>
      <c r="E5" t="s">
        <v>8</v>
      </c>
    </row>
    <row r="6" spans="1:5" x14ac:dyDescent="0.25">
      <c r="A6">
        <v>4</v>
      </c>
      <c r="B6">
        <v>6</v>
      </c>
      <c r="C6">
        <v>6</v>
      </c>
      <c r="D6">
        <v>6</v>
      </c>
      <c r="E6">
        <v>6</v>
      </c>
    </row>
    <row r="7" spans="1:5" x14ac:dyDescent="0.25">
      <c r="A7">
        <v>5</v>
      </c>
      <c r="B7">
        <v>9.5</v>
      </c>
      <c r="C7">
        <v>9.5</v>
      </c>
      <c r="D7">
        <v>9.5</v>
      </c>
      <c r="E7">
        <v>9.5</v>
      </c>
    </row>
    <row r="8" spans="1:5" x14ac:dyDescent="0.25">
      <c r="A8">
        <v>6</v>
      </c>
      <c r="B8">
        <v>9.5</v>
      </c>
      <c r="C8">
        <v>9.5</v>
      </c>
      <c r="D8">
        <v>9.5</v>
      </c>
      <c r="E8">
        <v>9.5</v>
      </c>
    </row>
    <row r="9" spans="1:5" x14ac:dyDescent="0.25">
      <c r="A9">
        <v>7</v>
      </c>
      <c r="B9">
        <v>9.5</v>
      </c>
      <c r="C9">
        <v>9.5</v>
      </c>
      <c r="D9">
        <v>9.5</v>
      </c>
      <c r="E9">
        <v>9.5</v>
      </c>
    </row>
    <row r="10" spans="1:5" x14ac:dyDescent="0.25">
      <c r="A10">
        <v>8</v>
      </c>
      <c r="B10">
        <v>9.5</v>
      </c>
      <c r="C10">
        <v>9.5</v>
      </c>
      <c r="D10">
        <v>9.5</v>
      </c>
      <c r="E10">
        <v>9.5</v>
      </c>
    </row>
    <row r="11" spans="1:5" x14ac:dyDescent="0.25">
      <c r="A11">
        <v>9</v>
      </c>
      <c r="B11">
        <v>6.5</v>
      </c>
      <c r="C11">
        <v>6.5</v>
      </c>
      <c r="D11">
        <v>6.5</v>
      </c>
      <c r="E11">
        <v>6.5</v>
      </c>
    </row>
    <row r="12" spans="1:5" x14ac:dyDescent="0.25">
      <c r="A12" t="s">
        <v>2</v>
      </c>
      <c r="B12" t="s">
        <v>8</v>
      </c>
      <c r="C12" t="s">
        <v>8</v>
      </c>
      <c r="D12" t="s">
        <v>8</v>
      </c>
      <c r="E12" t="s">
        <v>8</v>
      </c>
    </row>
    <row r="13" spans="1:5" x14ac:dyDescent="0.25">
      <c r="A13">
        <v>11</v>
      </c>
      <c r="B13" t="s">
        <v>41</v>
      </c>
      <c r="C13" t="s">
        <v>41</v>
      </c>
      <c r="D13">
        <v>9.5</v>
      </c>
      <c r="E13">
        <v>9.5</v>
      </c>
    </row>
    <row r="14" spans="1:5" x14ac:dyDescent="0.25">
      <c r="A14">
        <v>12</v>
      </c>
      <c r="B14">
        <v>9.5</v>
      </c>
      <c r="C14">
        <v>9.5</v>
      </c>
      <c r="D14">
        <v>9.5</v>
      </c>
      <c r="E14">
        <v>9.5</v>
      </c>
    </row>
    <row r="15" spans="1:5" x14ac:dyDescent="0.25">
      <c r="A15">
        <v>13</v>
      </c>
      <c r="B15">
        <v>9.5</v>
      </c>
      <c r="C15">
        <v>9.5</v>
      </c>
      <c r="D15">
        <v>9.5</v>
      </c>
      <c r="E15">
        <v>9.5</v>
      </c>
    </row>
    <row r="16" spans="1:5" x14ac:dyDescent="0.25">
      <c r="A16">
        <v>14</v>
      </c>
      <c r="B16">
        <v>9.5</v>
      </c>
      <c r="C16">
        <v>9.5</v>
      </c>
      <c r="D16">
        <v>9.5</v>
      </c>
      <c r="E16">
        <v>9.5</v>
      </c>
    </row>
    <row r="17" spans="1:5" x14ac:dyDescent="0.25">
      <c r="A17">
        <v>15</v>
      </c>
      <c r="B17">
        <v>9.5</v>
      </c>
      <c r="C17">
        <v>9.5</v>
      </c>
      <c r="D17">
        <v>9.5</v>
      </c>
      <c r="E17">
        <v>9.5</v>
      </c>
    </row>
    <row r="18" spans="1:5" x14ac:dyDescent="0.25">
      <c r="A18">
        <v>16</v>
      </c>
      <c r="B18">
        <v>6.5</v>
      </c>
      <c r="C18">
        <v>6.5</v>
      </c>
      <c r="D18">
        <v>6.5</v>
      </c>
      <c r="E18">
        <v>6.5</v>
      </c>
    </row>
    <row r="19" spans="1:5" x14ac:dyDescent="0.25">
      <c r="A19" t="s">
        <v>3</v>
      </c>
      <c r="B19" t="s">
        <v>8</v>
      </c>
      <c r="C19" t="s">
        <v>8</v>
      </c>
      <c r="D19" t="s">
        <v>8</v>
      </c>
      <c r="E19" t="s">
        <v>8</v>
      </c>
    </row>
    <row r="20" spans="1:5" x14ac:dyDescent="0.25">
      <c r="A20">
        <v>18</v>
      </c>
      <c r="B20">
        <v>9.5</v>
      </c>
      <c r="C20">
        <v>9.5</v>
      </c>
      <c r="D20">
        <v>9.5</v>
      </c>
      <c r="E20">
        <v>9.5</v>
      </c>
    </row>
    <row r="21" spans="1:5" x14ac:dyDescent="0.25">
      <c r="A21">
        <v>19</v>
      </c>
      <c r="B21">
        <v>9.5</v>
      </c>
      <c r="C21">
        <v>9.5</v>
      </c>
      <c r="D21">
        <v>9.5</v>
      </c>
      <c r="E21">
        <v>9.5</v>
      </c>
    </row>
    <row r="22" spans="1:5" x14ac:dyDescent="0.25">
      <c r="A22">
        <v>20</v>
      </c>
      <c r="B22">
        <v>9.5</v>
      </c>
      <c r="C22">
        <v>9.5</v>
      </c>
      <c r="D22">
        <v>9.5</v>
      </c>
      <c r="E22">
        <v>9.5</v>
      </c>
    </row>
    <row r="23" spans="1:5" x14ac:dyDescent="0.25">
      <c r="A23">
        <v>21</v>
      </c>
      <c r="B23">
        <v>9.5</v>
      </c>
      <c r="C23">
        <v>9.5</v>
      </c>
      <c r="D23">
        <v>9.5</v>
      </c>
      <c r="E23">
        <v>9.5</v>
      </c>
    </row>
    <row r="24" spans="1:5" x14ac:dyDescent="0.25">
      <c r="A24">
        <v>22</v>
      </c>
      <c r="B24">
        <v>9.5</v>
      </c>
      <c r="C24">
        <v>9.5</v>
      </c>
      <c r="D24">
        <v>9.5</v>
      </c>
      <c r="E24">
        <v>9.5</v>
      </c>
    </row>
    <row r="25" spans="1:5" x14ac:dyDescent="0.25">
      <c r="A25">
        <v>23</v>
      </c>
      <c r="B25">
        <v>6.5</v>
      </c>
      <c r="C25">
        <v>6.5</v>
      </c>
      <c r="D25">
        <v>6.5</v>
      </c>
      <c r="E25">
        <v>6.5</v>
      </c>
    </row>
    <row r="26" spans="1:5" x14ac:dyDescent="0.25">
      <c r="A26" t="s">
        <v>4</v>
      </c>
      <c r="B26" t="s">
        <v>8</v>
      </c>
      <c r="C26" t="s">
        <v>8</v>
      </c>
      <c r="D26" t="s">
        <v>8</v>
      </c>
      <c r="E26" t="s">
        <v>8</v>
      </c>
    </row>
    <row r="27" spans="1:5" x14ac:dyDescent="0.25">
      <c r="A27">
        <v>25</v>
      </c>
      <c r="B27">
        <v>9.5</v>
      </c>
      <c r="C27">
        <v>9.5</v>
      </c>
      <c r="D27">
        <v>9.5</v>
      </c>
      <c r="E27">
        <v>9.5</v>
      </c>
    </row>
    <row r="28" spans="1:5" x14ac:dyDescent="0.25">
      <c r="A28">
        <v>26</v>
      </c>
      <c r="B28">
        <v>9.5</v>
      </c>
      <c r="C28">
        <v>9.5</v>
      </c>
      <c r="D28">
        <v>9.5</v>
      </c>
      <c r="E28">
        <v>9.5</v>
      </c>
    </row>
    <row r="29" spans="1:5" x14ac:dyDescent="0.25">
      <c r="A29">
        <v>27</v>
      </c>
      <c r="B29">
        <v>9.5</v>
      </c>
      <c r="C29">
        <v>9.5</v>
      </c>
      <c r="D29">
        <v>9.5</v>
      </c>
      <c r="E29">
        <v>9.5</v>
      </c>
    </row>
    <row r="30" spans="1:5" x14ac:dyDescent="0.25">
      <c r="A30">
        <v>28</v>
      </c>
      <c r="B30">
        <v>9.5</v>
      </c>
      <c r="C30">
        <v>9.5</v>
      </c>
      <c r="D30">
        <v>9.5</v>
      </c>
      <c r="E30">
        <v>9.5</v>
      </c>
    </row>
    <row r="31" spans="1:5" x14ac:dyDescent="0.25">
      <c r="A31">
        <v>29</v>
      </c>
      <c r="B31">
        <v>9.5</v>
      </c>
      <c r="C31">
        <v>9.5</v>
      </c>
      <c r="D31">
        <v>9.5</v>
      </c>
      <c r="E31" t="s">
        <v>41</v>
      </c>
    </row>
    <row r="32" spans="1:5" x14ac:dyDescent="0.25">
      <c r="A32">
        <v>30</v>
      </c>
      <c r="B32">
        <v>6.5</v>
      </c>
      <c r="C32">
        <v>6.5</v>
      </c>
      <c r="D32">
        <v>6.5</v>
      </c>
      <c r="E32">
        <v>6.5</v>
      </c>
    </row>
    <row r="33" spans="1:5" x14ac:dyDescent="0.25">
      <c r="A33" t="s">
        <v>5</v>
      </c>
      <c r="B33" t="s">
        <v>8</v>
      </c>
      <c r="C33" t="s">
        <v>8</v>
      </c>
      <c r="D33" t="s">
        <v>8</v>
      </c>
      <c r="E33" t="s">
        <v>8</v>
      </c>
    </row>
    <row r="34" spans="1:5" x14ac:dyDescent="0.25">
      <c r="A34" t="s">
        <v>6</v>
      </c>
      <c r="B34">
        <f>SUM(B3:B33)</f>
        <v>212.5</v>
      </c>
      <c r="C34">
        <f>SUM(C3:C33)</f>
        <v>212.5</v>
      </c>
      <c r="D34">
        <f>SUM(D3:D33)</f>
        <v>222</v>
      </c>
      <c r="E34">
        <f>SUM(E3:E33)</f>
        <v>212.5</v>
      </c>
    </row>
  </sheetData>
  <conditionalFormatting sqref="A1:XFD1">
    <cfRule type="duplicateValues" dxfId="16" priority="1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F92B9-89A7-4EC4-AA77-FD5FFC6B8A57}">
  <sheetPr>
    <tabColor theme="6" tint="0.79998168889431442"/>
  </sheetPr>
  <dimension ref="A1:E34"/>
  <sheetViews>
    <sheetView rightToLeft="1" workbookViewId="0">
      <pane ySplit="1" topLeftCell="A26" activePane="bottomLeft" state="frozen"/>
      <selection pane="bottomLeft" activeCell="E1" sqref="E1"/>
    </sheetView>
  </sheetViews>
  <sheetFormatPr defaultRowHeight="13.8" x14ac:dyDescent="0.25"/>
  <sheetData>
    <row r="1" spans="1:5" x14ac:dyDescent="0.25">
      <c r="A1" t="s">
        <v>0</v>
      </c>
      <c r="B1" t="s">
        <v>83</v>
      </c>
      <c r="C1" t="s">
        <v>85</v>
      </c>
      <c r="D1" t="s">
        <v>87</v>
      </c>
      <c r="E1" t="s">
        <v>89</v>
      </c>
    </row>
    <row r="2" spans="1:5" x14ac:dyDescent="0.25">
      <c r="B2" t="s">
        <v>84</v>
      </c>
      <c r="C2" t="s">
        <v>86</v>
      </c>
      <c r="D2" t="s">
        <v>88</v>
      </c>
      <c r="E2" t="s">
        <v>90</v>
      </c>
    </row>
    <row r="3" spans="1:5" x14ac:dyDescent="0.25">
      <c r="A3">
        <v>1</v>
      </c>
      <c r="B3">
        <v>10</v>
      </c>
      <c r="C3">
        <v>10</v>
      </c>
      <c r="D3">
        <v>10</v>
      </c>
      <c r="E3">
        <v>10</v>
      </c>
    </row>
    <row r="4" spans="1:5" x14ac:dyDescent="0.25">
      <c r="A4">
        <v>2</v>
      </c>
      <c r="B4">
        <v>6</v>
      </c>
      <c r="C4">
        <v>6</v>
      </c>
      <c r="D4">
        <v>6</v>
      </c>
      <c r="E4">
        <v>6</v>
      </c>
    </row>
    <row r="5" spans="1:5" x14ac:dyDescent="0.25">
      <c r="A5" t="s">
        <v>1</v>
      </c>
      <c r="B5" t="s">
        <v>8</v>
      </c>
      <c r="C5" t="s">
        <v>8</v>
      </c>
      <c r="D5" t="s">
        <v>8</v>
      </c>
      <c r="E5" t="s">
        <v>8</v>
      </c>
    </row>
    <row r="6" spans="1:5" x14ac:dyDescent="0.25">
      <c r="A6">
        <v>4</v>
      </c>
      <c r="B6">
        <v>10</v>
      </c>
      <c r="C6">
        <v>10</v>
      </c>
      <c r="D6" t="s">
        <v>74</v>
      </c>
      <c r="E6">
        <v>10</v>
      </c>
    </row>
    <row r="7" spans="1:5" x14ac:dyDescent="0.25">
      <c r="A7">
        <v>5</v>
      </c>
      <c r="B7" s="8" t="s">
        <v>41</v>
      </c>
      <c r="C7">
        <v>10</v>
      </c>
      <c r="D7">
        <v>10</v>
      </c>
      <c r="E7">
        <v>10</v>
      </c>
    </row>
    <row r="8" spans="1:5" x14ac:dyDescent="0.25">
      <c r="A8">
        <v>6</v>
      </c>
      <c r="B8" t="s">
        <v>41</v>
      </c>
      <c r="C8">
        <v>10</v>
      </c>
      <c r="D8">
        <v>10</v>
      </c>
      <c r="E8">
        <v>10</v>
      </c>
    </row>
    <row r="9" spans="1:5" x14ac:dyDescent="0.25">
      <c r="A9">
        <v>7</v>
      </c>
      <c r="B9" t="s">
        <v>41</v>
      </c>
      <c r="C9">
        <v>10</v>
      </c>
      <c r="D9">
        <v>10</v>
      </c>
      <c r="E9">
        <v>10</v>
      </c>
    </row>
    <row r="10" spans="1:5" x14ac:dyDescent="0.25">
      <c r="A10">
        <v>8</v>
      </c>
      <c r="B10">
        <v>10</v>
      </c>
      <c r="C10">
        <v>10</v>
      </c>
      <c r="D10">
        <v>10</v>
      </c>
      <c r="E10">
        <v>10</v>
      </c>
    </row>
    <row r="11" spans="1:5" x14ac:dyDescent="0.25">
      <c r="A11">
        <v>9</v>
      </c>
      <c r="B11" t="s">
        <v>74</v>
      </c>
      <c r="C11">
        <v>6</v>
      </c>
      <c r="D11">
        <v>6</v>
      </c>
      <c r="E11">
        <v>6</v>
      </c>
    </row>
    <row r="12" spans="1:5" x14ac:dyDescent="0.25">
      <c r="A12" t="s">
        <v>2</v>
      </c>
      <c r="B12" t="s">
        <v>8</v>
      </c>
      <c r="C12" t="s">
        <v>8</v>
      </c>
      <c r="D12" t="s">
        <v>8</v>
      </c>
      <c r="E12" t="s">
        <v>8</v>
      </c>
    </row>
    <row r="13" spans="1:5" x14ac:dyDescent="0.25">
      <c r="A13">
        <v>11</v>
      </c>
      <c r="B13">
        <v>10</v>
      </c>
      <c r="C13">
        <v>10</v>
      </c>
      <c r="D13">
        <v>5</v>
      </c>
      <c r="E13">
        <v>10</v>
      </c>
    </row>
    <row r="14" spans="1:5" x14ac:dyDescent="0.25">
      <c r="A14">
        <v>12</v>
      </c>
      <c r="B14">
        <v>10</v>
      </c>
      <c r="C14">
        <v>10</v>
      </c>
      <c r="D14" t="s">
        <v>41</v>
      </c>
      <c r="E14">
        <v>10</v>
      </c>
    </row>
    <row r="15" spans="1:5" x14ac:dyDescent="0.25">
      <c r="A15">
        <v>13</v>
      </c>
      <c r="B15">
        <v>10</v>
      </c>
      <c r="C15">
        <v>10</v>
      </c>
      <c r="D15" t="s">
        <v>41</v>
      </c>
      <c r="E15">
        <v>10</v>
      </c>
    </row>
    <row r="16" spans="1:5" x14ac:dyDescent="0.25">
      <c r="A16">
        <v>14</v>
      </c>
      <c r="B16">
        <v>10</v>
      </c>
      <c r="C16">
        <v>10</v>
      </c>
      <c r="D16" t="s">
        <v>41</v>
      </c>
      <c r="E16">
        <v>10</v>
      </c>
    </row>
    <row r="17" spans="1:5" x14ac:dyDescent="0.25">
      <c r="A17">
        <v>15</v>
      </c>
      <c r="B17">
        <v>10</v>
      </c>
      <c r="C17">
        <v>10</v>
      </c>
      <c r="D17">
        <v>10</v>
      </c>
      <c r="E17">
        <v>10</v>
      </c>
    </row>
    <row r="18" spans="1:5" x14ac:dyDescent="0.25">
      <c r="A18">
        <v>16</v>
      </c>
      <c r="B18">
        <v>6</v>
      </c>
      <c r="C18">
        <v>6</v>
      </c>
      <c r="D18">
        <v>6</v>
      </c>
      <c r="E18">
        <v>6</v>
      </c>
    </row>
    <row r="19" spans="1:5" x14ac:dyDescent="0.25">
      <c r="A19" t="s">
        <v>3</v>
      </c>
      <c r="B19" t="s">
        <v>8</v>
      </c>
      <c r="C19" t="s">
        <v>8</v>
      </c>
      <c r="D19" t="s">
        <v>8</v>
      </c>
      <c r="E19" t="s">
        <v>8</v>
      </c>
    </row>
    <row r="20" spans="1:5" x14ac:dyDescent="0.25">
      <c r="A20">
        <v>18</v>
      </c>
      <c r="B20">
        <v>10</v>
      </c>
      <c r="C20">
        <v>10</v>
      </c>
      <c r="D20">
        <v>10</v>
      </c>
      <c r="E20">
        <v>10</v>
      </c>
    </row>
    <row r="21" spans="1:5" x14ac:dyDescent="0.25">
      <c r="A21">
        <v>19</v>
      </c>
      <c r="B21">
        <v>10</v>
      </c>
      <c r="C21">
        <v>10</v>
      </c>
      <c r="D21">
        <v>10</v>
      </c>
      <c r="E21">
        <v>10</v>
      </c>
    </row>
    <row r="22" spans="1:5" x14ac:dyDescent="0.25">
      <c r="A22">
        <v>20</v>
      </c>
      <c r="B22">
        <v>10</v>
      </c>
      <c r="C22">
        <v>10</v>
      </c>
      <c r="D22">
        <v>10</v>
      </c>
      <c r="E22">
        <v>10</v>
      </c>
    </row>
    <row r="23" spans="1:5" x14ac:dyDescent="0.25">
      <c r="A23">
        <v>21</v>
      </c>
      <c r="B23">
        <v>10</v>
      </c>
      <c r="C23">
        <v>10</v>
      </c>
      <c r="D23" t="s">
        <v>41</v>
      </c>
      <c r="E23" t="s">
        <v>74</v>
      </c>
    </row>
    <row r="24" spans="1:5" x14ac:dyDescent="0.25">
      <c r="A24">
        <v>22</v>
      </c>
      <c r="B24">
        <v>10</v>
      </c>
      <c r="C24">
        <v>10</v>
      </c>
      <c r="D24" t="s">
        <v>41</v>
      </c>
      <c r="E24">
        <v>10</v>
      </c>
    </row>
    <row r="25" spans="1:5" x14ac:dyDescent="0.25">
      <c r="A25">
        <v>23</v>
      </c>
      <c r="B25" t="s">
        <v>74</v>
      </c>
      <c r="C25">
        <v>6</v>
      </c>
      <c r="D25" t="s">
        <v>41</v>
      </c>
      <c r="E25">
        <v>6</v>
      </c>
    </row>
    <row r="26" spans="1:5" x14ac:dyDescent="0.25">
      <c r="A26" t="s">
        <v>4</v>
      </c>
      <c r="B26" t="s">
        <v>8</v>
      </c>
      <c r="C26" t="s">
        <v>8</v>
      </c>
      <c r="D26" t="s">
        <v>8</v>
      </c>
      <c r="E26" t="s">
        <v>8</v>
      </c>
    </row>
    <row r="27" spans="1:5" x14ac:dyDescent="0.25">
      <c r="A27">
        <v>25</v>
      </c>
      <c r="B27" t="s">
        <v>74</v>
      </c>
      <c r="C27">
        <v>10</v>
      </c>
      <c r="D27" t="s">
        <v>41</v>
      </c>
      <c r="E27">
        <v>10</v>
      </c>
    </row>
    <row r="28" spans="1:5" x14ac:dyDescent="0.25">
      <c r="A28">
        <v>26</v>
      </c>
      <c r="B28">
        <v>10</v>
      </c>
      <c r="C28">
        <v>10</v>
      </c>
      <c r="D28">
        <v>10</v>
      </c>
      <c r="E28">
        <v>10</v>
      </c>
    </row>
    <row r="29" spans="1:5" x14ac:dyDescent="0.25">
      <c r="A29">
        <v>27</v>
      </c>
      <c r="B29">
        <v>10</v>
      </c>
      <c r="C29">
        <v>10</v>
      </c>
      <c r="D29">
        <v>10</v>
      </c>
      <c r="E29">
        <v>10</v>
      </c>
    </row>
    <row r="30" spans="1:5" x14ac:dyDescent="0.25">
      <c r="A30">
        <v>28</v>
      </c>
      <c r="B30">
        <v>10</v>
      </c>
      <c r="C30">
        <v>10</v>
      </c>
      <c r="D30">
        <v>10</v>
      </c>
      <c r="E30">
        <v>10</v>
      </c>
    </row>
    <row r="31" spans="1:5" x14ac:dyDescent="0.25">
      <c r="A31">
        <v>29</v>
      </c>
      <c r="B31">
        <v>10</v>
      </c>
      <c r="C31">
        <v>10</v>
      </c>
      <c r="D31">
        <v>10</v>
      </c>
      <c r="E31">
        <v>10</v>
      </c>
    </row>
    <row r="32" spans="1:5" x14ac:dyDescent="0.25">
      <c r="A32">
        <v>30</v>
      </c>
      <c r="B32">
        <v>6</v>
      </c>
      <c r="C32">
        <v>6</v>
      </c>
      <c r="D32">
        <v>6</v>
      </c>
      <c r="E32">
        <v>6</v>
      </c>
    </row>
    <row r="33" spans="1:5" x14ac:dyDescent="0.25">
      <c r="A33" t="s">
        <v>5</v>
      </c>
      <c r="B33" t="s">
        <v>8</v>
      </c>
      <c r="C33" t="s">
        <v>8</v>
      </c>
      <c r="D33" t="s">
        <v>8</v>
      </c>
      <c r="E33" t="s">
        <v>8</v>
      </c>
    </row>
    <row r="34" spans="1:5" x14ac:dyDescent="0.25">
      <c r="A34" t="s">
        <v>6</v>
      </c>
      <c r="B34">
        <f>SUM(B3:B33)</f>
        <v>188</v>
      </c>
      <c r="C34">
        <f>SUM(C3:C33)</f>
        <v>240</v>
      </c>
      <c r="D34">
        <f>SUM(D3:D33)</f>
        <v>159</v>
      </c>
      <c r="E34">
        <f>SUM(E3:E33)</f>
        <v>230</v>
      </c>
    </row>
  </sheetData>
  <conditionalFormatting sqref="A1:XFD1">
    <cfRule type="duplicateValues" dxfId="15" priority="1"/>
  </conditionalFormatting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2A974-AD03-40DA-853B-58EE848693CE}">
  <dimension ref="A1:J34"/>
  <sheetViews>
    <sheetView rightToLeft="1" workbookViewId="0">
      <selection activeCell="B4" sqref="B4:B17"/>
    </sheetView>
  </sheetViews>
  <sheetFormatPr defaultRowHeight="13.8" x14ac:dyDescent="0.25"/>
  <cols>
    <col min="2" max="2" width="11.19921875" bestFit="1" customWidth="1"/>
    <col min="10" max="10" width="19.5" customWidth="1"/>
  </cols>
  <sheetData>
    <row r="1" spans="1:10" x14ac:dyDescent="0.25">
      <c r="A1" t="s">
        <v>0</v>
      </c>
      <c r="B1" t="s">
        <v>91</v>
      </c>
      <c r="C1" t="s">
        <v>93</v>
      </c>
    </row>
    <row r="2" spans="1:10" x14ac:dyDescent="0.25">
      <c r="B2" t="s">
        <v>92</v>
      </c>
      <c r="C2" t="s">
        <v>94</v>
      </c>
    </row>
    <row r="3" spans="1:10" x14ac:dyDescent="0.25">
      <c r="A3">
        <v>1</v>
      </c>
      <c r="B3" s="12">
        <v>11</v>
      </c>
      <c r="C3" s="3">
        <v>11</v>
      </c>
    </row>
    <row r="4" spans="1:10" x14ac:dyDescent="0.25">
      <c r="A4">
        <v>2</v>
      </c>
      <c r="C4" s="3">
        <v>5</v>
      </c>
    </row>
    <row r="5" spans="1:10" x14ac:dyDescent="0.25">
      <c r="A5" t="s">
        <v>1</v>
      </c>
      <c r="B5" t="s">
        <v>8</v>
      </c>
      <c r="C5" s="3" t="s">
        <v>8</v>
      </c>
    </row>
    <row r="6" spans="1:10" ht="41.4" x14ac:dyDescent="0.25">
      <c r="A6">
        <v>4</v>
      </c>
      <c r="C6" s="3">
        <v>11</v>
      </c>
      <c r="J6" s="4" t="s">
        <v>95</v>
      </c>
    </row>
    <row r="7" spans="1:10" x14ac:dyDescent="0.25">
      <c r="A7">
        <v>5</v>
      </c>
      <c r="C7" s="3">
        <v>11</v>
      </c>
    </row>
    <row r="8" spans="1:10" x14ac:dyDescent="0.25">
      <c r="A8">
        <v>6</v>
      </c>
      <c r="C8" s="3">
        <v>11</v>
      </c>
      <c r="J8" s="12" t="s">
        <v>258</v>
      </c>
    </row>
    <row r="9" spans="1:10" x14ac:dyDescent="0.25">
      <c r="A9">
        <v>7</v>
      </c>
      <c r="C9" s="3">
        <v>11</v>
      </c>
    </row>
    <row r="10" spans="1:10" x14ac:dyDescent="0.25">
      <c r="A10">
        <v>8</v>
      </c>
      <c r="C10" s="3">
        <v>11</v>
      </c>
    </row>
    <row r="11" spans="1:10" x14ac:dyDescent="0.25">
      <c r="A11">
        <v>9</v>
      </c>
      <c r="C11" s="3">
        <v>5</v>
      </c>
    </row>
    <row r="12" spans="1:10" x14ac:dyDescent="0.25">
      <c r="A12" t="s">
        <v>2</v>
      </c>
      <c r="B12" t="s">
        <v>8</v>
      </c>
      <c r="C12" s="3" t="s">
        <v>8</v>
      </c>
    </row>
    <row r="13" spans="1:10" x14ac:dyDescent="0.25">
      <c r="A13">
        <v>11</v>
      </c>
      <c r="C13" s="3">
        <v>11</v>
      </c>
    </row>
    <row r="14" spans="1:10" x14ac:dyDescent="0.25">
      <c r="A14">
        <v>12</v>
      </c>
      <c r="C14" s="3"/>
    </row>
    <row r="15" spans="1:10" x14ac:dyDescent="0.25">
      <c r="A15">
        <v>13</v>
      </c>
      <c r="C15" s="3"/>
    </row>
    <row r="16" spans="1:10" x14ac:dyDescent="0.25">
      <c r="A16">
        <v>14</v>
      </c>
      <c r="C16" s="3"/>
    </row>
    <row r="17" spans="1:3" x14ac:dyDescent="0.25">
      <c r="A17">
        <v>15</v>
      </c>
      <c r="C17" s="3"/>
    </row>
    <row r="18" spans="1:3" x14ac:dyDescent="0.25">
      <c r="A18">
        <v>16</v>
      </c>
      <c r="C18" s="3"/>
    </row>
    <row r="19" spans="1:3" x14ac:dyDescent="0.25">
      <c r="A19" t="s">
        <v>3</v>
      </c>
      <c r="B19" t="s">
        <v>8</v>
      </c>
      <c r="C19" s="3" t="s">
        <v>8</v>
      </c>
    </row>
    <row r="20" spans="1:3" x14ac:dyDescent="0.25">
      <c r="A20">
        <v>18</v>
      </c>
      <c r="B20">
        <v>3</v>
      </c>
      <c r="C20">
        <v>3</v>
      </c>
    </row>
    <row r="21" spans="1:3" x14ac:dyDescent="0.25">
      <c r="A21">
        <v>19</v>
      </c>
      <c r="B21">
        <v>11</v>
      </c>
      <c r="C21">
        <v>11</v>
      </c>
    </row>
    <row r="22" spans="1:3" x14ac:dyDescent="0.25">
      <c r="A22">
        <v>20</v>
      </c>
      <c r="B22">
        <v>11</v>
      </c>
      <c r="C22">
        <v>11</v>
      </c>
    </row>
    <row r="23" spans="1:3" x14ac:dyDescent="0.25">
      <c r="A23">
        <v>21</v>
      </c>
      <c r="B23">
        <v>11</v>
      </c>
      <c r="C23">
        <v>11</v>
      </c>
    </row>
    <row r="24" spans="1:3" x14ac:dyDescent="0.25">
      <c r="A24">
        <v>22</v>
      </c>
      <c r="B24">
        <v>11</v>
      </c>
      <c r="C24">
        <v>11</v>
      </c>
    </row>
    <row r="25" spans="1:3" x14ac:dyDescent="0.25">
      <c r="A25">
        <v>23</v>
      </c>
    </row>
    <row r="26" spans="1:3" x14ac:dyDescent="0.25">
      <c r="A26" t="s">
        <v>4</v>
      </c>
      <c r="B26" t="s">
        <v>8</v>
      </c>
      <c r="C26" t="s">
        <v>8</v>
      </c>
    </row>
    <row r="27" spans="1:3" x14ac:dyDescent="0.25">
      <c r="A27">
        <v>25</v>
      </c>
      <c r="B27">
        <v>11</v>
      </c>
      <c r="C27">
        <v>11</v>
      </c>
    </row>
    <row r="28" spans="1:3" x14ac:dyDescent="0.25">
      <c r="A28">
        <v>26</v>
      </c>
      <c r="B28">
        <v>11</v>
      </c>
      <c r="C28">
        <v>11</v>
      </c>
    </row>
    <row r="29" spans="1:3" x14ac:dyDescent="0.25">
      <c r="A29">
        <v>27</v>
      </c>
      <c r="B29">
        <v>11</v>
      </c>
      <c r="C29">
        <v>11</v>
      </c>
    </row>
    <row r="30" spans="1:3" x14ac:dyDescent="0.25">
      <c r="A30">
        <v>28</v>
      </c>
      <c r="B30">
        <v>11</v>
      </c>
      <c r="C30">
        <v>11</v>
      </c>
    </row>
    <row r="31" spans="1:3" x14ac:dyDescent="0.25">
      <c r="A31">
        <v>29</v>
      </c>
      <c r="B31">
        <v>11</v>
      </c>
      <c r="C31">
        <v>11</v>
      </c>
    </row>
    <row r="32" spans="1:3" x14ac:dyDescent="0.25">
      <c r="A32">
        <v>30</v>
      </c>
      <c r="B32">
        <v>7</v>
      </c>
      <c r="C32">
        <v>7</v>
      </c>
    </row>
    <row r="33" spans="1:3" x14ac:dyDescent="0.25">
      <c r="A33" t="s">
        <v>5</v>
      </c>
      <c r="B33" t="s">
        <v>8</v>
      </c>
      <c r="C33" t="s">
        <v>8</v>
      </c>
    </row>
    <row r="34" spans="1:3" x14ac:dyDescent="0.25">
      <c r="A34" t="s">
        <v>6</v>
      </c>
      <c r="B34">
        <f>SUM(B3:B33)</f>
        <v>120</v>
      </c>
      <c r="C34">
        <f>SUM(C20:C33)</f>
        <v>109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F022E-4D3C-439B-8330-CC9E928BE82D}">
  <sheetPr>
    <tabColor theme="6" tint="0.79998168889431442"/>
  </sheetPr>
  <dimension ref="A1:C38"/>
  <sheetViews>
    <sheetView rightToLeft="1" topLeftCell="A19" workbookViewId="0">
      <selection activeCell="B1" sqref="B1"/>
    </sheetView>
  </sheetViews>
  <sheetFormatPr defaultRowHeight="13.8" x14ac:dyDescent="0.25"/>
  <sheetData>
    <row r="1" spans="1:3" x14ac:dyDescent="0.25">
      <c r="A1" t="s">
        <v>0</v>
      </c>
      <c r="B1" t="s">
        <v>96</v>
      </c>
      <c r="C1" t="s">
        <v>98</v>
      </c>
    </row>
    <row r="2" spans="1:3" x14ac:dyDescent="0.25">
      <c r="B2" t="s">
        <v>97</v>
      </c>
      <c r="C2" t="s">
        <v>99</v>
      </c>
    </row>
    <row r="3" spans="1:3" x14ac:dyDescent="0.25">
      <c r="A3">
        <v>1</v>
      </c>
      <c r="B3">
        <v>15.499999999999998</v>
      </c>
      <c r="C3">
        <v>15.499999999999998</v>
      </c>
    </row>
    <row r="4" spans="1:3" x14ac:dyDescent="0.25">
      <c r="A4">
        <v>2</v>
      </c>
      <c r="B4" s="5">
        <v>5.4166666666666679</v>
      </c>
      <c r="C4" s="5">
        <v>5.4166666666666679</v>
      </c>
    </row>
    <row r="5" spans="1:3" x14ac:dyDescent="0.25">
      <c r="A5" t="s">
        <v>1</v>
      </c>
      <c r="B5" t="s">
        <v>8</v>
      </c>
      <c r="C5" t="s">
        <v>8</v>
      </c>
    </row>
    <row r="6" spans="1:3" x14ac:dyDescent="0.25">
      <c r="A6">
        <v>4</v>
      </c>
      <c r="B6">
        <v>14.45</v>
      </c>
      <c r="C6">
        <v>14.45</v>
      </c>
    </row>
    <row r="7" spans="1:3" x14ac:dyDescent="0.25">
      <c r="A7">
        <v>5</v>
      </c>
      <c r="B7" s="5">
        <v>11.916666666666666</v>
      </c>
      <c r="C7" s="5">
        <v>11.916666666666666</v>
      </c>
    </row>
    <row r="8" spans="1:3" x14ac:dyDescent="0.25">
      <c r="A8">
        <v>6</v>
      </c>
      <c r="B8">
        <v>12.350000000000001</v>
      </c>
      <c r="C8">
        <v>12.350000000000001</v>
      </c>
    </row>
    <row r="9" spans="1:3" x14ac:dyDescent="0.25">
      <c r="A9">
        <v>7</v>
      </c>
      <c r="B9">
        <v>13.799999999999999</v>
      </c>
      <c r="C9">
        <v>13.799999999999999</v>
      </c>
    </row>
    <row r="10" spans="1:3" x14ac:dyDescent="0.25">
      <c r="A10">
        <v>8</v>
      </c>
      <c r="B10" s="5">
        <v>12.533333333333331</v>
      </c>
      <c r="C10" s="5">
        <v>12.533333333333331</v>
      </c>
    </row>
    <row r="11" spans="1:3" x14ac:dyDescent="0.25">
      <c r="A11">
        <v>9</v>
      </c>
      <c r="B11" s="5">
        <v>5.6333333333333329</v>
      </c>
      <c r="C11" s="5">
        <v>5.6333333333333329</v>
      </c>
    </row>
    <row r="12" spans="1:3" x14ac:dyDescent="0.25">
      <c r="A12" t="s">
        <v>2</v>
      </c>
      <c r="B12" t="s">
        <v>8</v>
      </c>
      <c r="C12" t="s">
        <v>8</v>
      </c>
    </row>
    <row r="13" spans="1:3" x14ac:dyDescent="0.25">
      <c r="A13">
        <v>11</v>
      </c>
      <c r="B13" s="5">
        <v>12.633333333333331</v>
      </c>
      <c r="C13" s="5">
        <v>12.633333333333331</v>
      </c>
    </row>
    <row r="14" spans="1:3" x14ac:dyDescent="0.25">
      <c r="A14">
        <v>12</v>
      </c>
      <c r="B14">
        <v>13.999999999999998</v>
      </c>
      <c r="C14">
        <v>13.999999999999998</v>
      </c>
    </row>
    <row r="15" spans="1:3" x14ac:dyDescent="0.25">
      <c r="A15">
        <v>13</v>
      </c>
      <c r="B15" s="5">
        <v>11.633333333333333</v>
      </c>
      <c r="C15" s="5">
        <v>11.183333333333332</v>
      </c>
    </row>
    <row r="16" spans="1:3" x14ac:dyDescent="0.25">
      <c r="A16">
        <v>14</v>
      </c>
      <c r="B16" s="5">
        <v>12.466666666666665</v>
      </c>
      <c r="C16" s="5">
        <v>12.466666666666665</v>
      </c>
    </row>
    <row r="17" spans="1:3" x14ac:dyDescent="0.25">
      <c r="A17">
        <v>15</v>
      </c>
      <c r="B17">
        <v>13.4</v>
      </c>
      <c r="C17">
        <v>13.4</v>
      </c>
    </row>
    <row r="18" spans="1:3" x14ac:dyDescent="0.25">
      <c r="A18">
        <v>16</v>
      </c>
      <c r="B18" s="5">
        <v>5.8333333333333321</v>
      </c>
      <c r="C18" s="5">
        <v>5.8333333333333321</v>
      </c>
    </row>
    <row r="19" spans="1:3" x14ac:dyDescent="0.25">
      <c r="A19" t="s">
        <v>3</v>
      </c>
      <c r="B19" t="s">
        <v>8</v>
      </c>
      <c r="C19" t="s">
        <v>8</v>
      </c>
    </row>
    <row r="20" spans="1:3" x14ac:dyDescent="0.25">
      <c r="A20">
        <v>18</v>
      </c>
      <c r="B20">
        <v>13.549999999999997</v>
      </c>
      <c r="C20">
        <v>13.549999999999997</v>
      </c>
    </row>
    <row r="21" spans="1:3" x14ac:dyDescent="0.25">
      <c r="A21">
        <v>19</v>
      </c>
      <c r="B21" s="5">
        <v>12.83333333333333</v>
      </c>
      <c r="C21" s="5">
        <v>12.83333333333333</v>
      </c>
    </row>
    <row r="22" spans="1:3" x14ac:dyDescent="0.25">
      <c r="A22">
        <v>20</v>
      </c>
      <c r="B22" s="5">
        <v>12.83333333333333</v>
      </c>
      <c r="C22" s="5">
        <v>12.83333333333333</v>
      </c>
    </row>
    <row r="23" spans="1:3" x14ac:dyDescent="0.25">
      <c r="A23">
        <v>21</v>
      </c>
      <c r="B23">
        <v>13.000000000000002</v>
      </c>
      <c r="C23">
        <v>13.000000000000002</v>
      </c>
    </row>
    <row r="24" spans="1:3" x14ac:dyDescent="0.25">
      <c r="A24">
        <v>22</v>
      </c>
      <c r="B24">
        <v>13.5</v>
      </c>
      <c r="C24">
        <v>13.5</v>
      </c>
    </row>
    <row r="25" spans="1:3" x14ac:dyDescent="0.25">
      <c r="A25">
        <v>23</v>
      </c>
      <c r="B25" s="5">
        <v>6.4666666666666668</v>
      </c>
      <c r="C25">
        <v>6.5</v>
      </c>
    </row>
    <row r="26" spans="1:3" x14ac:dyDescent="0.25">
      <c r="A26" t="s">
        <v>4</v>
      </c>
      <c r="B26" t="s">
        <v>8</v>
      </c>
      <c r="C26" t="s">
        <v>8</v>
      </c>
    </row>
    <row r="27" spans="1:3" x14ac:dyDescent="0.25">
      <c r="A27">
        <v>25</v>
      </c>
      <c r="B27" s="5">
        <v>15.466666666666665</v>
      </c>
      <c r="C27">
        <v>15.499999999999998</v>
      </c>
    </row>
    <row r="28" spans="1:3" x14ac:dyDescent="0.25">
      <c r="A28">
        <v>26</v>
      </c>
      <c r="B28" s="5">
        <v>13.433333333333334</v>
      </c>
      <c r="C28" s="5">
        <v>13.433333333333334</v>
      </c>
    </row>
    <row r="29" spans="1:3" x14ac:dyDescent="0.25">
      <c r="A29">
        <v>27</v>
      </c>
      <c r="B29">
        <v>13.000000000000002</v>
      </c>
      <c r="C29">
        <v>13.000000000000002</v>
      </c>
    </row>
    <row r="30" spans="1:3" x14ac:dyDescent="0.25">
      <c r="A30">
        <v>28</v>
      </c>
      <c r="B30" s="5">
        <v>14.083333333333334</v>
      </c>
      <c r="C30" s="5">
        <v>14.083333333333334</v>
      </c>
    </row>
    <row r="31" spans="1:3" x14ac:dyDescent="0.25">
      <c r="A31">
        <v>29</v>
      </c>
      <c r="B31">
        <v>13.999999999999998</v>
      </c>
      <c r="C31">
        <v>13.999999999999998</v>
      </c>
    </row>
    <row r="32" spans="1:3" x14ac:dyDescent="0.25">
      <c r="A32">
        <v>30</v>
      </c>
      <c r="B32">
        <v>7</v>
      </c>
      <c r="C32">
        <v>7</v>
      </c>
    </row>
    <row r="33" spans="1:3" x14ac:dyDescent="0.25">
      <c r="A33" t="s">
        <v>5</v>
      </c>
      <c r="B33" t="s">
        <v>8</v>
      </c>
      <c r="C33" t="s">
        <v>8</v>
      </c>
    </row>
    <row r="34" spans="1:3" x14ac:dyDescent="0.25">
      <c r="A34" t="s">
        <v>6</v>
      </c>
      <c r="B34" s="5">
        <f>SUM(B3:B33)</f>
        <v>310.73333333333335</v>
      </c>
      <c r="C34" s="5">
        <f>SUM(C3:C33)</f>
        <v>310.35000000000002</v>
      </c>
    </row>
    <row r="38" spans="1:3" x14ac:dyDescent="0.25">
      <c r="A38" t="s">
        <v>238</v>
      </c>
      <c r="B38">
        <f>310.73-252</f>
        <v>58.730000000000018</v>
      </c>
      <c r="C38">
        <f>310.35-252</f>
        <v>58.350000000000023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9479F-F027-40A3-A6FB-5A2F7A6B5C93}">
  <sheetPr>
    <tabColor theme="6" tint="0.79998168889431442"/>
  </sheetPr>
  <dimension ref="A1:B34"/>
  <sheetViews>
    <sheetView rightToLeft="1" workbookViewId="0">
      <selection activeCell="E10" sqref="E10"/>
    </sheetView>
  </sheetViews>
  <sheetFormatPr defaultRowHeight="13.8" x14ac:dyDescent="0.25"/>
  <sheetData>
    <row r="1" spans="1:2" x14ac:dyDescent="0.25">
      <c r="A1" t="s">
        <v>0</v>
      </c>
      <c r="B1" t="s">
        <v>37</v>
      </c>
    </row>
    <row r="2" spans="1:2" x14ac:dyDescent="0.25">
      <c r="B2" t="s">
        <v>38</v>
      </c>
    </row>
    <row r="3" spans="1:2" x14ac:dyDescent="0.25">
      <c r="A3">
        <v>1</v>
      </c>
      <c r="B3" s="1" t="s">
        <v>100</v>
      </c>
    </row>
    <row r="4" spans="1:2" x14ac:dyDescent="0.25">
      <c r="A4">
        <v>2</v>
      </c>
      <c r="B4" s="1" t="s">
        <v>101</v>
      </c>
    </row>
    <row r="5" spans="1:2" x14ac:dyDescent="0.25">
      <c r="A5" t="s">
        <v>1</v>
      </c>
      <c r="B5" s="1"/>
    </row>
    <row r="6" spans="1:2" x14ac:dyDescent="0.25">
      <c r="A6">
        <v>4</v>
      </c>
      <c r="B6" s="1"/>
    </row>
    <row r="7" spans="1:2" x14ac:dyDescent="0.25">
      <c r="A7">
        <v>5</v>
      </c>
      <c r="B7" s="1"/>
    </row>
    <row r="8" spans="1:2" x14ac:dyDescent="0.25">
      <c r="A8">
        <v>6</v>
      </c>
      <c r="B8" s="1"/>
    </row>
    <row r="9" spans="1:2" x14ac:dyDescent="0.25">
      <c r="A9">
        <v>7</v>
      </c>
      <c r="B9" s="1"/>
    </row>
    <row r="10" spans="1:2" x14ac:dyDescent="0.25">
      <c r="A10">
        <v>8</v>
      </c>
      <c r="B10" s="1"/>
    </row>
    <row r="11" spans="1:2" x14ac:dyDescent="0.25">
      <c r="A11">
        <v>9</v>
      </c>
      <c r="B11" s="1"/>
    </row>
    <row r="12" spans="1:2" x14ac:dyDescent="0.25">
      <c r="A12" t="s">
        <v>2</v>
      </c>
      <c r="B12" s="1"/>
    </row>
    <row r="13" spans="1:2" x14ac:dyDescent="0.25">
      <c r="A13">
        <v>11</v>
      </c>
      <c r="B13" s="1"/>
    </row>
    <row r="14" spans="1:2" x14ac:dyDescent="0.25">
      <c r="A14">
        <v>12</v>
      </c>
      <c r="B14" s="1"/>
    </row>
    <row r="15" spans="1:2" x14ac:dyDescent="0.25">
      <c r="A15">
        <v>13</v>
      </c>
      <c r="B15" s="1"/>
    </row>
    <row r="16" spans="1:2" x14ac:dyDescent="0.25">
      <c r="A16">
        <v>14</v>
      </c>
      <c r="B16" s="1"/>
    </row>
    <row r="17" spans="1:2" x14ac:dyDescent="0.25">
      <c r="A17">
        <v>15</v>
      </c>
      <c r="B17" s="1"/>
    </row>
    <row r="18" spans="1:2" x14ac:dyDescent="0.25">
      <c r="A18">
        <v>16</v>
      </c>
      <c r="B18" s="1"/>
    </row>
    <row r="19" spans="1:2" x14ac:dyDescent="0.25">
      <c r="A19" t="s">
        <v>3</v>
      </c>
      <c r="B19" t="s">
        <v>8</v>
      </c>
    </row>
    <row r="20" spans="1:2" x14ac:dyDescent="0.25">
      <c r="A20">
        <v>18</v>
      </c>
    </row>
    <row r="21" spans="1:2" x14ac:dyDescent="0.25">
      <c r="A21">
        <v>19</v>
      </c>
      <c r="B21">
        <v>11</v>
      </c>
    </row>
    <row r="22" spans="1:2" x14ac:dyDescent="0.25">
      <c r="A22">
        <v>20</v>
      </c>
      <c r="B22">
        <v>11</v>
      </c>
    </row>
    <row r="23" spans="1:2" x14ac:dyDescent="0.25">
      <c r="A23">
        <v>21</v>
      </c>
      <c r="B23">
        <v>11</v>
      </c>
    </row>
    <row r="24" spans="1:2" x14ac:dyDescent="0.25">
      <c r="A24">
        <v>22</v>
      </c>
      <c r="B24">
        <v>11</v>
      </c>
    </row>
    <row r="25" spans="1:2" x14ac:dyDescent="0.25">
      <c r="A25">
        <v>23</v>
      </c>
    </row>
    <row r="26" spans="1:2" x14ac:dyDescent="0.25">
      <c r="A26" t="s">
        <v>4</v>
      </c>
      <c r="B26" t="s">
        <v>8</v>
      </c>
    </row>
    <row r="27" spans="1:2" x14ac:dyDescent="0.25">
      <c r="A27">
        <v>25</v>
      </c>
    </row>
    <row r="28" spans="1:2" x14ac:dyDescent="0.25">
      <c r="A28">
        <v>26</v>
      </c>
      <c r="B28">
        <v>11</v>
      </c>
    </row>
    <row r="29" spans="1:2" x14ac:dyDescent="0.25">
      <c r="A29">
        <v>27</v>
      </c>
      <c r="B29">
        <v>11</v>
      </c>
    </row>
    <row r="30" spans="1:2" x14ac:dyDescent="0.25">
      <c r="A30">
        <v>28</v>
      </c>
      <c r="B30">
        <v>11</v>
      </c>
    </row>
    <row r="31" spans="1:2" x14ac:dyDescent="0.25">
      <c r="A31">
        <v>29</v>
      </c>
      <c r="B31">
        <v>11</v>
      </c>
    </row>
    <row r="32" spans="1:2" x14ac:dyDescent="0.25">
      <c r="A32">
        <v>30</v>
      </c>
    </row>
    <row r="33" spans="1:2" x14ac:dyDescent="0.25">
      <c r="A33" t="s">
        <v>5</v>
      </c>
      <c r="B33" t="s">
        <v>8</v>
      </c>
    </row>
    <row r="34" spans="1:2" x14ac:dyDescent="0.25">
      <c r="A34" t="s">
        <v>6</v>
      </c>
      <c r="B34">
        <f>SUM(B3:B33)</f>
        <v>88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3649F-B82E-4D72-92B7-E6C7D0394D96}">
  <sheetPr>
    <tabColor theme="6" tint="0.79998168889431442"/>
  </sheetPr>
  <dimension ref="A1:C36"/>
  <sheetViews>
    <sheetView rightToLeft="1" topLeftCell="A7" workbookViewId="0">
      <selection activeCell="B1" sqref="B1"/>
    </sheetView>
  </sheetViews>
  <sheetFormatPr defaultRowHeight="13.8" x14ac:dyDescent="0.25"/>
  <sheetData>
    <row r="1" spans="1:3" x14ac:dyDescent="0.25">
      <c r="A1" t="s">
        <v>0</v>
      </c>
      <c r="B1" t="s">
        <v>130</v>
      </c>
      <c r="C1" t="s">
        <v>132</v>
      </c>
    </row>
    <row r="2" spans="1:3" x14ac:dyDescent="0.25">
      <c r="B2" t="s">
        <v>131</v>
      </c>
      <c r="C2" t="s">
        <v>133</v>
      </c>
    </row>
    <row r="3" spans="1:3" x14ac:dyDescent="0.25">
      <c r="A3">
        <v>1</v>
      </c>
      <c r="B3">
        <v>11</v>
      </c>
      <c r="C3">
        <v>11</v>
      </c>
    </row>
    <row r="4" spans="1:3" x14ac:dyDescent="0.25">
      <c r="A4">
        <v>2</v>
      </c>
      <c r="B4">
        <v>7</v>
      </c>
      <c r="C4" t="s">
        <v>41</v>
      </c>
    </row>
    <row r="5" spans="1:3" x14ac:dyDescent="0.25">
      <c r="A5" t="s">
        <v>1</v>
      </c>
      <c r="B5" t="s">
        <v>8</v>
      </c>
      <c r="C5" t="s">
        <v>8</v>
      </c>
    </row>
    <row r="6" spans="1:3" x14ac:dyDescent="0.25">
      <c r="A6">
        <v>4</v>
      </c>
      <c r="B6">
        <v>11</v>
      </c>
      <c r="C6" t="s">
        <v>41</v>
      </c>
    </row>
    <row r="7" spans="1:3" x14ac:dyDescent="0.25">
      <c r="A7">
        <v>5</v>
      </c>
      <c r="B7">
        <v>11</v>
      </c>
      <c r="C7">
        <v>11</v>
      </c>
    </row>
    <row r="8" spans="1:3" x14ac:dyDescent="0.25">
      <c r="A8">
        <v>6</v>
      </c>
      <c r="B8">
        <v>11</v>
      </c>
      <c r="C8">
        <v>11</v>
      </c>
    </row>
    <row r="9" spans="1:3" x14ac:dyDescent="0.25">
      <c r="A9">
        <v>7</v>
      </c>
      <c r="B9">
        <v>11</v>
      </c>
      <c r="C9">
        <v>3</v>
      </c>
    </row>
    <row r="10" spans="1:3" x14ac:dyDescent="0.25">
      <c r="A10">
        <v>8</v>
      </c>
      <c r="B10">
        <v>11</v>
      </c>
      <c r="C10" t="s">
        <v>41</v>
      </c>
    </row>
    <row r="11" spans="1:3" x14ac:dyDescent="0.25">
      <c r="A11">
        <v>9</v>
      </c>
      <c r="B11">
        <v>7</v>
      </c>
      <c r="C11" t="s">
        <v>41</v>
      </c>
    </row>
    <row r="12" spans="1:3" x14ac:dyDescent="0.25">
      <c r="A12" t="s">
        <v>2</v>
      </c>
      <c r="B12" t="s">
        <v>8</v>
      </c>
      <c r="C12" t="s">
        <v>8</v>
      </c>
    </row>
    <row r="13" spans="1:3" x14ac:dyDescent="0.25">
      <c r="A13">
        <v>11</v>
      </c>
      <c r="B13">
        <v>11</v>
      </c>
      <c r="C13" t="s">
        <v>41</v>
      </c>
    </row>
    <row r="14" spans="1:3" x14ac:dyDescent="0.25">
      <c r="A14">
        <v>12</v>
      </c>
      <c r="B14">
        <v>11</v>
      </c>
      <c r="C14" t="s">
        <v>41</v>
      </c>
    </row>
    <row r="15" spans="1:3" x14ac:dyDescent="0.25">
      <c r="A15">
        <v>13</v>
      </c>
      <c r="B15">
        <v>11</v>
      </c>
      <c r="C15" t="s">
        <v>41</v>
      </c>
    </row>
    <row r="16" spans="1:3" x14ac:dyDescent="0.25">
      <c r="A16">
        <v>14</v>
      </c>
      <c r="B16">
        <v>11</v>
      </c>
      <c r="C16" t="s">
        <v>41</v>
      </c>
    </row>
    <row r="17" spans="1:3" x14ac:dyDescent="0.25">
      <c r="A17">
        <v>15</v>
      </c>
      <c r="B17">
        <v>11</v>
      </c>
      <c r="C17" t="s">
        <v>41</v>
      </c>
    </row>
    <row r="18" spans="1:3" x14ac:dyDescent="0.25">
      <c r="A18">
        <v>16</v>
      </c>
      <c r="B18">
        <v>7</v>
      </c>
      <c r="C18" t="s">
        <v>41</v>
      </c>
    </row>
    <row r="19" spans="1:3" x14ac:dyDescent="0.25">
      <c r="A19" t="s">
        <v>3</v>
      </c>
      <c r="B19" t="s">
        <v>8</v>
      </c>
      <c r="C19" t="s">
        <v>8</v>
      </c>
    </row>
    <row r="20" spans="1:3" x14ac:dyDescent="0.25">
      <c r="A20">
        <v>18</v>
      </c>
      <c r="B20">
        <v>11</v>
      </c>
      <c r="C20">
        <v>11</v>
      </c>
    </row>
    <row r="21" spans="1:3" x14ac:dyDescent="0.25">
      <c r="A21">
        <v>19</v>
      </c>
      <c r="B21">
        <v>11</v>
      </c>
      <c r="C21">
        <v>11</v>
      </c>
    </row>
    <row r="22" spans="1:3" x14ac:dyDescent="0.25">
      <c r="A22">
        <v>20</v>
      </c>
      <c r="B22">
        <v>11</v>
      </c>
      <c r="C22">
        <v>11</v>
      </c>
    </row>
    <row r="23" spans="1:3" x14ac:dyDescent="0.25">
      <c r="A23">
        <v>21</v>
      </c>
      <c r="B23">
        <v>11</v>
      </c>
      <c r="C23">
        <v>11</v>
      </c>
    </row>
    <row r="24" spans="1:3" x14ac:dyDescent="0.25">
      <c r="A24">
        <v>22</v>
      </c>
      <c r="B24">
        <v>11</v>
      </c>
      <c r="C24">
        <v>11</v>
      </c>
    </row>
    <row r="25" spans="1:3" x14ac:dyDescent="0.25">
      <c r="A25">
        <v>23</v>
      </c>
      <c r="B25">
        <v>7</v>
      </c>
      <c r="C25">
        <v>7</v>
      </c>
    </row>
    <row r="26" spans="1:3" x14ac:dyDescent="0.25">
      <c r="A26" t="s">
        <v>4</v>
      </c>
      <c r="B26" t="s">
        <v>8</v>
      </c>
      <c r="C26" t="s">
        <v>8</v>
      </c>
    </row>
    <row r="27" spans="1:3" x14ac:dyDescent="0.25">
      <c r="A27">
        <v>25</v>
      </c>
      <c r="B27">
        <v>11</v>
      </c>
      <c r="C27">
        <v>11</v>
      </c>
    </row>
    <row r="28" spans="1:3" x14ac:dyDescent="0.25">
      <c r="A28">
        <v>26</v>
      </c>
      <c r="B28">
        <v>11</v>
      </c>
      <c r="C28">
        <v>11</v>
      </c>
    </row>
    <row r="29" spans="1:3" x14ac:dyDescent="0.25">
      <c r="A29">
        <v>27</v>
      </c>
      <c r="B29">
        <v>11</v>
      </c>
      <c r="C29">
        <v>11</v>
      </c>
    </row>
    <row r="30" spans="1:3" x14ac:dyDescent="0.25">
      <c r="A30">
        <v>28</v>
      </c>
      <c r="B30">
        <v>11</v>
      </c>
      <c r="C30">
        <v>11</v>
      </c>
    </row>
    <row r="31" spans="1:3" x14ac:dyDescent="0.25">
      <c r="A31">
        <v>29</v>
      </c>
      <c r="B31">
        <v>11</v>
      </c>
      <c r="C31">
        <v>11</v>
      </c>
    </row>
    <row r="32" spans="1:3" x14ac:dyDescent="0.25">
      <c r="A32">
        <v>30</v>
      </c>
      <c r="B32">
        <v>7</v>
      </c>
      <c r="C32">
        <v>7</v>
      </c>
    </row>
    <row r="33" spans="1:3" x14ac:dyDescent="0.25">
      <c r="A33" t="s">
        <v>5</v>
      </c>
      <c r="B33" t="s">
        <v>8</v>
      </c>
      <c r="C33" t="s">
        <v>8</v>
      </c>
    </row>
    <row r="34" spans="1:3" x14ac:dyDescent="0.25">
      <c r="A34" t="s">
        <v>6</v>
      </c>
      <c r="B34">
        <f>SUM(B3:B33)</f>
        <v>266</v>
      </c>
      <c r="C34">
        <f>SUM(C3:C33)</f>
        <v>160</v>
      </c>
    </row>
    <row r="36" spans="1:3" x14ac:dyDescent="0.25">
      <c r="A36" t="s">
        <v>239</v>
      </c>
      <c r="B36">
        <f>266-252</f>
        <v>14</v>
      </c>
    </row>
  </sheetData>
  <conditionalFormatting sqref="A1:XFD1">
    <cfRule type="duplicateValues" dxfId="14" priority="1"/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ECA11-46FB-4D63-BEDD-063719CCCAC5}">
  <sheetPr>
    <tabColor theme="6" tint="0.79998168889431442"/>
  </sheetPr>
  <dimension ref="A1:C36"/>
  <sheetViews>
    <sheetView rightToLeft="1" topLeftCell="A4" workbookViewId="0">
      <selection activeCell="B1" sqref="B1"/>
    </sheetView>
  </sheetViews>
  <sheetFormatPr defaultRowHeight="13.8" x14ac:dyDescent="0.25"/>
  <sheetData>
    <row r="1" spans="1:3" x14ac:dyDescent="0.25">
      <c r="A1" t="s">
        <v>0</v>
      </c>
      <c r="B1" t="s">
        <v>147</v>
      </c>
      <c r="C1" t="s">
        <v>148</v>
      </c>
    </row>
    <row r="2" spans="1:3" x14ac:dyDescent="0.25">
      <c r="B2" t="s">
        <v>70</v>
      </c>
      <c r="C2" t="s">
        <v>76</v>
      </c>
    </row>
    <row r="3" spans="1:3" x14ac:dyDescent="0.25">
      <c r="A3">
        <v>1</v>
      </c>
      <c r="B3">
        <v>11</v>
      </c>
      <c r="C3">
        <v>11</v>
      </c>
    </row>
    <row r="4" spans="1:3" x14ac:dyDescent="0.25">
      <c r="A4">
        <v>2</v>
      </c>
      <c r="B4">
        <v>7</v>
      </c>
      <c r="C4">
        <v>7</v>
      </c>
    </row>
    <row r="5" spans="1:3" x14ac:dyDescent="0.25">
      <c r="A5" t="s">
        <v>1</v>
      </c>
      <c r="B5" t="s">
        <v>8</v>
      </c>
      <c r="C5" t="s">
        <v>8</v>
      </c>
    </row>
    <row r="6" spans="1:3" x14ac:dyDescent="0.25">
      <c r="A6">
        <v>4</v>
      </c>
      <c r="B6">
        <v>11</v>
      </c>
      <c r="C6">
        <v>11</v>
      </c>
    </row>
    <row r="7" spans="1:3" x14ac:dyDescent="0.25">
      <c r="A7">
        <v>5</v>
      </c>
      <c r="B7">
        <v>11</v>
      </c>
      <c r="C7">
        <v>11</v>
      </c>
    </row>
    <row r="8" spans="1:3" x14ac:dyDescent="0.25">
      <c r="A8">
        <v>6</v>
      </c>
      <c r="B8">
        <v>11</v>
      </c>
      <c r="C8">
        <v>11</v>
      </c>
    </row>
    <row r="9" spans="1:3" x14ac:dyDescent="0.25">
      <c r="A9">
        <v>7</v>
      </c>
      <c r="B9">
        <v>11</v>
      </c>
      <c r="C9">
        <v>11</v>
      </c>
    </row>
    <row r="10" spans="1:3" x14ac:dyDescent="0.25">
      <c r="A10">
        <v>8</v>
      </c>
      <c r="B10">
        <v>11</v>
      </c>
      <c r="C10">
        <v>11</v>
      </c>
    </row>
    <row r="11" spans="1:3" x14ac:dyDescent="0.25">
      <c r="A11">
        <v>9</v>
      </c>
      <c r="B11">
        <v>7</v>
      </c>
      <c r="C11">
        <v>7</v>
      </c>
    </row>
    <row r="12" spans="1:3" x14ac:dyDescent="0.25">
      <c r="A12" t="s">
        <v>2</v>
      </c>
      <c r="B12" t="s">
        <v>8</v>
      </c>
      <c r="C12" t="s">
        <v>8</v>
      </c>
    </row>
    <row r="13" spans="1:3" x14ac:dyDescent="0.25">
      <c r="A13">
        <v>11</v>
      </c>
      <c r="B13">
        <v>11</v>
      </c>
      <c r="C13">
        <v>11</v>
      </c>
    </row>
    <row r="14" spans="1:3" x14ac:dyDescent="0.25">
      <c r="A14">
        <v>12</v>
      </c>
      <c r="B14">
        <v>11</v>
      </c>
      <c r="C14">
        <v>11</v>
      </c>
    </row>
    <row r="15" spans="1:3" x14ac:dyDescent="0.25">
      <c r="A15">
        <v>13</v>
      </c>
      <c r="B15">
        <v>11</v>
      </c>
      <c r="C15">
        <v>11</v>
      </c>
    </row>
    <row r="16" spans="1:3" x14ac:dyDescent="0.25">
      <c r="A16">
        <v>14</v>
      </c>
      <c r="B16">
        <v>11</v>
      </c>
      <c r="C16">
        <v>11</v>
      </c>
    </row>
    <row r="17" spans="1:3" x14ac:dyDescent="0.25">
      <c r="A17">
        <v>15</v>
      </c>
      <c r="B17">
        <v>11</v>
      </c>
      <c r="C17">
        <v>11</v>
      </c>
    </row>
    <row r="18" spans="1:3" x14ac:dyDescent="0.25">
      <c r="A18">
        <v>16</v>
      </c>
      <c r="B18">
        <v>7</v>
      </c>
      <c r="C18">
        <v>7</v>
      </c>
    </row>
    <row r="19" spans="1:3" x14ac:dyDescent="0.25">
      <c r="A19" t="s">
        <v>3</v>
      </c>
      <c r="B19" t="s">
        <v>8</v>
      </c>
      <c r="C19" t="s">
        <v>8</v>
      </c>
    </row>
    <row r="20" spans="1:3" x14ac:dyDescent="0.25">
      <c r="A20">
        <v>18</v>
      </c>
      <c r="B20">
        <v>11</v>
      </c>
      <c r="C20">
        <v>11</v>
      </c>
    </row>
    <row r="21" spans="1:3" x14ac:dyDescent="0.25">
      <c r="A21">
        <v>19</v>
      </c>
      <c r="B21">
        <v>11</v>
      </c>
      <c r="C21">
        <v>11</v>
      </c>
    </row>
    <row r="22" spans="1:3" x14ac:dyDescent="0.25">
      <c r="A22">
        <v>20</v>
      </c>
      <c r="B22">
        <v>11</v>
      </c>
      <c r="C22">
        <v>11</v>
      </c>
    </row>
    <row r="23" spans="1:3" x14ac:dyDescent="0.25">
      <c r="A23">
        <v>21</v>
      </c>
      <c r="B23">
        <v>11</v>
      </c>
      <c r="C23">
        <v>11</v>
      </c>
    </row>
    <row r="24" spans="1:3" x14ac:dyDescent="0.25">
      <c r="A24">
        <v>22</v>
      </c>
      <c r="B24">
        <v>11</v>
      </c>
      <c r="C24">
        <v>11</v>
      </c>
    </row>
    <row r="25" spans="1:3" x14ac:dyDescent="0.25">
      <c r="A25">
        <v>23</v>
      </c>
      <c r="B25">
        <v>7</v>
      </c>
      <c r="C25">
        <v>7</v>
      </c>
    </row>
    <row r="26" spans="1:3" x14ac:dyDescent="0.25">
      <c r="A26" t="s">
        <v>4</v>
      </c>
      <c r="B26" t="s">
        <v>8</v>
      </c>
      <c r="C26" t="s">
        <v>8</v>
      </c>
    </row>
    <row r="27" spans="1:3" x14ac:dyDescent="0.25">
      <c r="A27">
        <v>25</v>
      </c>
      <c r="B27">
        <v>11</v>
      </c>
      <c r="C27">
        <v>11</v>
      </c>
    </row>
    <row r="28" spans="1:3" x14ac:dyDescent="0.25">
      <c r="A28">
        <v>26</v>
      </c>
      <c r="B28">
        <v>11</v>
      </c>
      <c r="C28">
        <v>11</v>
      </c>
    </row>
    <row r="29" spans="1:3" x14ac:dyDescent="0.25">
      <c r="A29">
        <v>27</v>
      </c>
      <c r="B29">
        <v>11</v>
      </c>
      <c r="C29">
        <v>11</v>
      </c>
    </row>
    <row r="30" spans="1:3" x14ac:dyDescent="0.25">
      <c r="A30">
        <v>28</v>
      </c>
      <c r="B30">
        <v>11</v>
      </c>
      <c r="C30">
        <v>11</v>
      </c>
    </row>
    <row r="31" spans="1:3" x14ac:dyDescent="0.25">
      <c r="A31">
        <v>29</v>
      </c>
      <c r="B31">
        <v>11</v>
      </c>
      <c r="C31">
        <v>11</v>
      </c>
    </row>
    <row r="32" spans="1:3" x14ac:dyDescent="0.25">
      <c r="A32">
        <v>30</v>
      </c>
      <c r="B32">
        <v>7</v>
      </c>
      <c r="C32">
        <v>7</v>
      </c>
    </row>
    <row r="33" spans="1:3" x14ac:dyDescent="0.25">
      <c r="A33" t="s">
        <v>5</v>
      </c>
      <c r="B33" t="s">
        <v>8</v>
      </c>
      <c r="C33" t="s">
        <v>8</v>
      </c>
    </row>
    <row r="34" spans="1:3" x14ac:dyDescent="0.25">
      <c r="A34" t="s">
        <v>6</v>
      </c>
      <c r="B34">
        <f>SUM(B3:B33)</f>
        <v>266</v>
      </c>
      <c r="C34">
        <f>SUM(C3:C33)</f>
        <v>266</v>
      </c>
    </row>
    <row r="36" spans="1:3" x14ac:dyDescent="0.25">
      <c r="A36" t="s">
        <v>238</v>
      </c>
      <c r="B36">
        <f>266-252</f>
        <v>14</v>
      </c>
      <c r="C36">
        <f>266-252</f>
        <v>14</v>
      </c>
    </row>
  </sheetData>
  <conditionalFormatting sqref="A1:XFD1">
    <cfRule type="duplicateValues" dxfId="13" priority="1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CE221-DA47-4336-9296-ECBEA9FC9433}">
  <sheetPr>
    <tabColor theme="6" tint="0.79998168889431442"/>
  </sheetPr>
  <dimension ref="A1:G36"/>
  <sheetViews>
    <sheetView rightToLeft="1" workbookViewId="0">
      <pane ySplit="1" topLeftCell="A32" activePane="bottomLeft" state="frozen"/>
      <selection pane="bottomLeft" activeCell="E1" sqref="E1"/>
    </sheetView>
  </sheetViews>
  <sheetFormatPr defaultRowHeight="13.8" x14ac:dyDescent="0.25"/>
  <cols>
    <col min="6" max="6" width="10.19921875" bestFit="1" customWidth="1"/>
  </cols>
  <sheetData>
    <row r="1" spans="1:7" x14ac:dyDescent="0.25">
      <c r="A1" t="s">
        <v>0</v>
      </c>
      <c r="B1" t="s">
        <v>172</v>
      </c>
      <c r="C1" t="s">
        <v>174</v>
      </c>
      <c r="D1" t="s">
        <v>176</v>
      </c>
      <c r="E1" t="s">
        <v>178</v>
      </c>
      <c r="F1" t="s">
        <v>180</v>
      </c>
      <c r="G1" t="s">
        <v>182</v>
      </c>
    </row>
    <row r="2" spans="1:7" x14ac:dyDescent="0.25">
      <c r="B2" t="s">
        <v>173</v>
      </c>
      <c r="C2" t="s">
        <v>175</v>
      </c>
      <c r="D2" t="s">
        <v>177</v>
      </c>
      <c r="E2" t="s">
        <v>179</v>
      </c>
      <c r="F2" t="s">
        <v>181</v>
      </c>
      <c r="G2" t="s">
        <v>183</v>
      </c>
    </row>
    <row r="3" spans="1:7" x14ac:dyDescent="0.25">
      <c r="A3">
        <v>1</v>
      </c>
      <c r="B3">
        <v>11</v>
      </c>
      <c r="C3">
        <v>11</v>
      </c>
      <c r="D3">
        <v>11</v>
      </c>
      <c r="E3">
        <v>11</v>
      </c>
      <c r="F3">
        <v>11</v>
      </c>
      <c r="G3">
        <v>11</v>
      </c>
    </row>
    <row r="4" spans="1:7" x14ac:dyDescent="0.25">
      <c r="A4">
        <v>2</v>
      </c>
      <c r="B4">
        <v>7</v>
      </c>
      <c r="C4">
        <v>7</v>
      </c>
      <c r="D4">
        <v>7</v>
      </c>
      <c r="E4">
        <v>7</v>
      </c>
      <c r="F4">
        <v>7</v>
      </c>
      <c r="G4">
        <v>7</v>
      </c>
    </row>
    <row r="5" spans="1:7" x14ac:dyDescent="0.25">
      <c r="A5" t="s">
        <v>1</v>
      </c>
      <c r="B5" t="s">
        <v>8</v>
      </c>
      <c r="C5" t="s">
        <v>8</v>
      </c>
      <c r="D5" t="s">
        <v>8</v>
      </c>
      <c r="E5" t="s">
        <v>8</v>
      </c>
      <c r="F5" t="s">
        <v>8</v>
      </c>
      <c r="G5" t="s">
        <v>8</v>
      </c>
    </row>
    <row r="6" spans="1:7" x14ac:dyDescent="0.25">
      <c r="A6">
        <v>4</v>
      </c>
      <c r="B6">
        <v>11</v>
      </c>
      <c r="C6">
        <v>11</v>
      </c>
      <c r="D6">
        <v>11</v>
      </c>
      <c r="E6">
        <v>11</v>
      </c>
      <c r="F6">
        <v>11</v>
      </c>
      <c r="G6">
        <v>11</v>
      </c>
    </row>
    <row r="7" spans="1:7" x14ac:dyDescent="0.25">
      <c r="A7">
        <v>5</v>
      </c>
      <c r="B7">
        <v>11</v>
      </c>
      <c r="C7">
        <v>11</v>
      </c>
      <c r="D7">
        <v>11</v>
      </c>
      <c r="E7">
        <v>11</v>
      </c>
      <c r="F7">
        <v>11</v>
      </c>
      <c r="G7">
        <v>11</v>
      </c>
    </row>
    <row r="8" spans="1:7" x14ac:dyDescent="0.25">
      <c r="A8">
        <v>6</v>
      </c>
      <c r="B8">
        <v>11</v>
      </c>
      <c r="C8">
        <v>11</v>
      </c>
      <c r="D8">
        <v>11</v>
      </c>
      <c r="E8">
        <v>11</v>
      </c>
      <c r="F8">
        <v>11</v>
      </c>
      <c r="G8">
        <v>11</v>
      </c>
    </row>
    <row r="9" spans="1:7" x14ac:dyDescent="0.25">
      <c r="A9">
        <v>7</v>
      </c>
      <c r="B9">
        <v>11</v>
      </c>
      <c r="C9">
        <v>11</v>
      </c>
      <c r="D9">
        <v>11</v>
      </c>
      <c r="E9">
        <v>11</v>
      </c>
      <c r="F9">
        <v>11</v>
      </c>
      <c r="G9">
        <v>11</v>
      </c>
    </row>
    <row r="10" spans="1:7" x14ac:dyDescent="0.25">
      <c r="A10">
        <v>8</v>
      </c>
      <c r="B10">
        <v>11</v>
      </c>
      <c r="C10">
        <v>11</v>
      </c>
      <c r="D10">
        <v>11</v>
      </c>
      <c r="E10">
        <v>11</v>
      </c>
      <c r="F10">
        <v>11</v>
      </c>
      <c r="G10">
        <v>11</v>
      </c>
    </row>
    <row r="11" spans="1:7" x14ac:dyDescent="0.25">
      <c r="A11">
        <v>9</v>
      </c>
      <c r="B11">
        <v>7</v>
      </c>
      <c r="C11">
        <v>7</v>
      </c>
      <c r="D11">
        <v>7</v>
      </c>
      <c r="E11">
        <v>7</v>
      </c>
      <c r="F11">
        <v>7</v>
      </c>
      <c r="G11">
        <v>7</v>
      </c>
    </row>
    <row r="12" spans="1:7" x14ac:dyDescent="0.25">
      <c r="A12" t="s">
        <v>2</v>
      </c>
      <c r="B12" t="s">
        <v>8</v>
      </c>
      <c r="C12" t="s">
        <v>8</v>
      </c>
      <c r="D12" t="s">
        <v>8</v>
      </c>
      <c r="E12" t="s">
        <v>8</v>
      </c>
      <c r="F12" t="s">
        <v>8</v>
      </c>
      <c r="G12" t="s">
        <v>8</v>
      </c>
    </row>
    <row r="13" spans="1:7" x14ac:dyDescent="0.25">
      <c r="A13">
        <v>11</v>
      </c>
      <c r="B13">
        <v>11</v>
      </c>
      <c r="C13">
        <v>11</v>
      </c>
      <c r="D13">
        <v>11</v>
      </c>
      <c r="E13">
        <v>11</v>
      </c>
      <c r="F13">
        <v>11</v>
      </c>
      <c r="G13">
        <v>11</v>
      </c>
    </row>
    <row r="14" spans="1:7" x14ac:dyDescent="0.25">
      <c r="A14">
        <v>12</v>
      </c>
      <c r="B14">
        <v>11</v>
      </c>
      <c r="C14">
        <v>11</v>
      </c>
      <c r="D14">
        <v>11</v>
      </c>
      <c r="E14">
        <v>11</v>
      </c>
      <c r="F14" t="s">
        <v>41</v>
      </c>
      <c r="G14">
        <v>11</v>
      </c>
    </row>
    <row r="15" spans="1:7" x14ac:dyDescent="0.25">
      <c r="A15">
        <v>13</v>
      </c>
      <c r="B15">
        <v>11</v>
      </c>
      <c r="C15">
        <v>11</v>
      </c>
      <c r="D15">
        <v>11</v>
      </c>
      <c r="E15">
        <v>11</v>
      </c>
      <c r="F15">
        <v>11</v>
      </c>
      <c r="G15">
        <v>11</v>
      </c>
    </row>
    <row r="16" spans="1:7" x14ac:dyDescent="0.25">
      <c r="A16">
        <v>14</v>
      </c>
      <c r="B16">
        <v>11</v>
      </c>
      <c r="C16">
        <v>11</v>
      </c>
      <c r="D16">
        <v>11</v>
      </c>
      <c r="E16">
        <v>11</v>
      </c>
      <c r="F16">
        <v>11</v>
      </c>
      <c r="G16">
        <v>11</v>
      </c>
    </row>
    <row r="17" spans="1:7" x14ac:dyDescent="0.25">
      <c r="A17">
        <v>15</v>
      </c>
      <c r="B17">
        <v>11</v>
      </c>
      <c r="C17">
        <v>11</v>
      </c>
      <c r="D17">
        <v>11</v>
      </c>
      <c r="E17">
        <v>11</v>
      </c>
      <c r="G17">
        <v>11</v>
      </c>
    </row>
    <row r="18" spans="1:7" x14ac:dyDescent="0.25">
      <c r="A18">
        <v>16</v>
      </c>
      <c r="B18">
        <v>7</v>
      </c>
      <c r="C18">
        <v>7</v>
      </c>
      <c r="D18">
        <v>7</v>
      </c>
      <c r="E18">
        <v>7</v>
      </c>
      <c r="F18">
        <v>7</v>
      </c>
      <c r="G18">
        <v>7</v>
      </c>
    </row>
    <row r="19" spans="1:7" x14ac:dyDescent="0.25">
      <c r="A19" t="s">
        <v>3</v>
      </c>
      <c r="B19" t="s">
        <v>8</v>
      </c>
      <c r="C19" t="s">
        <v>8</v>
      </c>
      <c r="D19" t="s">
        <v>8</v>
      </c>
      <c r="E19" t="s">
        <v>8</v>
      </c>
      <c r="F19" t="s">
        <v>8</v>
      </c>
      <c r="G19" t="s">
        <v>8</v>
      </c>
    </row>
    <row r="20" spans="1:7" x14ac:dyDescent="0.25">
      <c r="A20">
        <v>18</v>
      </c>
      <c r="B20">
        <v>11</v>
      </c>
      <c r="C20">
        <v>11</v>
      </c>
      <c r="D20">
        <v>11</v>
      </c>
      <c r="E20">
        <v>11</v>
      </c>
      <c r="F20">
        <v>11</v>
      </c>
      <c r="G20">
        <v>11</v>
      </c>
    </row>
    <row r="21" spans="1:7" x14ac:dyDescent="0.25">
      <c r="A21">
        <v>19</v>
      </c>
      <c r="B21">
        <v>11</v>
      </c>
      <c r="C21">
        <v>11</v>
      </c>
      <c r="D21">
        <v>11</v>
      </c>
      <c r="E21">
        <v>11</v>
      </c>
      <c r="F21">
        <v>11</v>
      </c>
      <c r="G21">
        <v>11</v>
      </c>
    </row>
    <row r="22" spans="1:7" x14ac:dyDescent="0.25">
      <c r="A22">
        <v>20</v>
      </c>
      <c r="B22">
        <v>11</v>
      </c>
      <c r="C22">
        <v>11</v>
      </c>
      <c r="D22">
        <v>11</v>
      </c>
      <c r="E22">
        <v>11</v>
      </c>
      <c r="F22">
        <v>11</v>
      </c>
      <c r="G22">
        <v>11</v>
      </c>
    </row>
    <row r="23" spans="1:7" x14ac:dyDescent="0.25">
      <c r="A23">
        <v>21</v>
      </c>
      <c r="B23">
        <v>11</v>
      </c>
      <c r="C23">
        <v>11</v>
      </c>
      <c r="D23">
        <v>11</v>
      </c>
      <c r="E23">
        <v>11</v>
      </c>
      <c r="F23">
        <v>11</v>
      </c>
      <c r="G23">
        <v>11</v>
      </c>
    </row>
    <row r="24" spans="1:7" x14ac:dyDescent="0.25">
      <c r="A24">
        <v>22</v>
      </c>
      <c r="B24">
        <v>11</v>
      </c>
      <c r="C24">
        <v>11</v>
      </c>
      <c r="D24">
        <v>11</v>
      </c>
      <c r="E24">
        <v>11</v>
      </c>
      <c r="F24">
        <v>11</v>
      </c>
      <c r="G24">
        <v>11</v>
      </c>
    </row>
    <row r="25" spans="1:7" x14ac:dyDescent="0.25">
      <c r="A25">
        <v>23</v>
      </c>
      <c r="B25">
        <v>7</v>
      </c>
      <c r="C25">
        <v>7</v>
      </c>
      <c r="E25">
        <v>7</v>
      </c>
    </row>
    <row r="26" spans="1:7" x14ac:dyDescent="0.25">
      <c r="A26" t="s">
        <v>4</v>
      </c>
      <c r="B26" t="s">
        <v>8</v>
      </c>
      <c r="C26" t="s">
        <v>8</v>
      </c>
      <c r="D26" t="s">
        <v>8</v>
      </c>
      <c r="E26" t="s">
        <v>8</v>
      </c>
      <c r="F26" t="s">
        <v>8</v>
      </c>
      <c r="G26" t="s">
        <v>8</v>
      </c>
    </row>
    <row r="27" spans="1:7" x14ac:dyDescent="0.25">
      <c r="A27">
        <v>25</v>
      </c>
      <c r="B27">
        <v>11</v>
      </c>
      <c r="C27">
        <v>11</v>
      </c>
      <c r="E27">
        <v>11</v>
      </c>
      <c r="F27">
        <v>11</v>
      </c>
      <c r="G27">
        <v>11</v>
      </c>
    </row>
    <row r="28" spans="1:7" x14ac:dyDescent="0.25">
      <c r="A28">
        <v>26</v>
      </c>
      <c r="B28">
        <v>11</v>
      </c>
      <c r="C28">
        <v>11</v>
      </c>
      <c r="D28">
        <v>11</v>
      </c>
      <c r="E28">
        <v>11</v>
      </c>
      <c r="F28">
        <v>11</v>
      </c>
      <c r="G28">
        <v>11</v>
      </c>
    </row>
    <row r="29" spans="1:7" x14ac:dyDescent="0.25">
      <c r="A29">
        <v>27</v>
      </c>
      <c r="B29">
        <v>11</v>
      </c>
      <c r="C29">
        <v>11</v>
      </c>
      <c r="D29">
        <v>11</v>
      </c>
      <c r="E29">
        <v>11</v>
      </c>
      <c r="F29">
        <v>11</v>
      </c>
      <c r="G29">
        <v>11</v>
      </c>
    </row>
    <row r="30" spans="1:7" x14ac:dyDescent="0.25">
      <c r="A30">
        <v>28</v>
      </c>
      <c r="B30" s="10"/>
      <c r="C30">
        <v>11</v>
      </c>
      <c r="D30">
        <v>11</v>
      </c>
      <c r="E30">
        <v>11</v>
      </c>
      <c r="F30">
        <v>11</v>
      </c>
      <c r="G30">
        <v>11</v>
      </c>
    </row>
    <row r="31" spans="1:7" x14ac:dyDescent="0.25">
      <c r="A31">
        <v>29</v>
      </c>
      <c r="B31" s="10"/>
      <c r="C31">
        <v>11</v>
      </c>
      <c r="D31">
        <v>11</v>
      </c>
      <c r="E31">
        <v>11</v>
      </c>
      <c r="F31">
        <v>11</v>
      </c>
      <c r="G31">
        <v>11</v>
      </c>
    </row>
    <row r="32" spans="1:7" x14ac:dyDescent="0.25">
      <c r="A32">
        <v>30</v>
      </c>
      <c r="B32">
        <v>7</v>
      </c>
      <c r="C32">
        <v>7</v>
      </c>
      <c r="D32">
        <v>7</v>
      </c>
      <c r="E32">
        <v>7</v>
      </c>
    </row>
    <row r="33" spans="1:7" x14ac:dyDescent="0.25">
      <c r="A33" t="s">
        <v>5</v>
      </c>
      <c r="B33" t="s">
        <v>8</v>
      </c>
      <c r="C33" t="s">
        <v>8</v>
      </c>
      <c r="D33" t="s">
        <v>8</v>
      </c>
      <c r="E33" t="s">
        <v>8</v>
      </c>
      <c r="F33" t="s">
        <v>8</v>
      </c>
      <c r="G33" t="s">
        <v>8</v>
      </c>
    </row>
    <row r="34" spans="1:7" x14ac:dyDescent="0.25">
      <c r="A34" t="s">
        <v>6</v>
      </c>
      <c r="B34">
        <f>SUM(B3:B33)</f>
        <v>244</v>
      </c>
      <c r="C34">
        <f>SUM(C3:C33)</f>
        <v>266</v>
      </c>
      <c r="D34">
        <f t="shared" ref="D34:E34" si="0">SUM(D3:D33)</f>
        <v>248</v>
      </c>
      <c r="E34">
        <f t="shared" si="0"/>
        <v>266</v>
      </c>
      <c r="F34">
        <f t="shared" ref="F34" si="1">SUM(F3:F33)</f>
        <v>230</v>
      </c>
      <c r="G34">
        <f t="shared" ref="G34" si="2">SUM(G3:G33)</f>
        <v>252</v>
      </c>
    </row>
    <row r="36" spans="1:7" x14ac:dyDescent="0.25">
      <c r="C36">
        <f>266-252</f>
        <v>14</v>
      </c>
      <c r="E36">
        <f>266-252</f>
        <v>14</v>
      </c>
    </row>
  </sheetData>
  <conditionalFormatting sqref="A1:XFD1">
    <cfRule type="duplicateValues" dxfId="12" priority="1"/>
  </conditionalFormatting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4E7AF-EE54-4EFD-AB14-44E5C5778467}">
  <sheetPr>
    <tabColor theme="6" tint="0.79998168889431442"/>
  </sheetPr>
  <dimension ref="A1:J34"/>
  <sheetViews>
    <sheetView rightToLeft="1" tabSelected="1" workbookViewId="0">
      <selection activeCell="C1" sqref="C1"/>
    </sheetView>
  </sheetViews>
  <sheetFormatPr defaultRowHeight="13.8" x14ac:dyDescent="0.25"/>
  <cols>
    <col min="3" max="3" width="10.19921875" bestFit="1" customWidth="1"/>
  </cols>
  <sheetData>
    <row r="1" spans="1:10" x14ac:dyDescent="0.25">
      <c r="A1" t="s">
        <v>0</v>
      </c>
      <c r="B1" t="s">
        <v>24</v>
      </c>
      <c r="C1" s="3" t="s">
        <v>26</v>
      </c>
      <c r="D1" t="s">
        <v>28</v>
      </c>
      <c r="E1" t="s">
        <v>30</v>
      </c>
      <c r="F1" t="s">
        <v>204</v>
      </c>
      <c r="G1" t="s">
        <v>33</v>
      </c>
      <c r="H1" t="s">
        <v>35</v>
      </c>
      <c r="I1" t="s">
        <v>37</v>
      </c>
      <c r="J1" t="s">
        <v>39</v>
      </c>
    </row>
    <row r="2" spans="1:10" x14ac:dyDescent="0.25">
      <c r="B2" t="s">
        <v>25</v>
      </c>
      <c r="C2" t="s">
        <v>27</v>
      </c>
      <c r="D2" t="s">
        <v>29</v>
      </c>
      <c r="E2" t="s">
        <v>31</v>
      </c>
      <c r="F2" t="s">
        <v>32</v>
      </c>
      <c r="G2" t="s">
        <v>34</v>
      </c>
      <c r="H2" t="s">
        <v>36</v>
      </c>
      <c r="I2" t="s">
        <v>38</v>
      </c>
      <c r="J2" t="s">
        <v>40</v>
      </c>
    </row>
    <row r="3" spans="1:10" x14ac:dyDescent="0.25">
      <c r="A3">
        <v>1</v>
      </c>
      <c r="B3">
        <v>7</v>
      </c>
      <c r="C3">
        <v>7</v>
      </c>
      <c r="D3">
        <v>12</v>
      </c>
      <c r="E3">
        <v>7</v>
      </c>
      <c r="F3">
        <v>7</v>
      </c>
      <c r="G3">
        <v>7</v>
      </c>
      <c r="H3">
        <v>8</v>
      </c>
      <c r="I3">
        <v>8</v>
      </c>
      <c r="J3">
        <v>7</v>
      </c>
    </row>
    <row r="4" spans="1:10" x14ac:dyDescent="0.25">
      <c r="A4">
        <v>2</v>
      </c>
      <c r="B4">
        <v>8</v>
      </c>
      <c r="C4">
        <v>8</v>
      </c>
      <c r="D4">
        <v>8</v>
      </c>
      <c r="E4">
        <v>8</v>
      </c>
      <c r="F4" t="s">
        <v>41</v>
      </c>
      <c r="G4" t="s">
        <v>41</v>
      </c>
      <c r="H4">
        <v>8</v>
      </c>
      <c r="I4">
        <v>8</v>
      </c>
      <c r="J4">
        <v>8</v>
      </c>
    </row>
    <row r="5" spans="1:10" x14ac:dyDescent="0.25">
      <c r="A5" t="s">
        <v>1</v>
      </c>
      <c r="B5" t="s">
        <v>8</v>
      </c>
      <c r="C5" t="s">
        <v>8</v>
      </c>
      <c r="D5" t="s">
        <v>8</v>
      </c>
      <c r="E5" t="s">
        <v>8</v>
      </c>
      <c r="F5" t="s">
        <v>8</v>
      </c>
      <c r="G5" t="s">
        <v>8</v>
      </c>
      <c r="H5" t="s">
        <v>8</v>
      </c>
      <c r="I5" t="s">
        <v>8</v>
      </c>
      <c r="J5" t="s">
        <v>8</v>
      </c>
    </row>
    <row r="6" spans="1:10" x14ac:dyDescent="0.25">
      <c r="A6">
        <v>4</v>
      </c>
      <c r="B6">
        <v>10</v>
      </c>
      <c r="C6">
        <v>10</v>
      </c>
      <c r="D6">
        <v>10</v>
      </c>
      <c r="E6">
        <v>10</v>
      </c>
      <c r="F6">
        <v>10</v>
      </c>
      <c r="G6">
        <v>10</v>
      </c>
      <c r="H6">
        <v>10</v>
      </c>
      <c r="I6">
        <v>10</v>
      </c>
      <c r="J6">
        <v>10</v>
      </c>
    </row>
    <row r="7" spans="1:10" x14ac:dyDescent="0.25">
      <c r="A7">
        <v>5</v>
      </c>
      <c r="B7">
        <v>10</v>
      </c>
      <c r="C7">
        <v>10</v>
      </c>
      <c r="D7">
        <v>10</v>
      </c>
      <c r="E7">
        <v>10</v>
      </c>
      <c r="F7">
        <v>10</v>
      </c>
      <c r="G7">
        <v>10</v>
      </c>
      <c r="H7">
        <v>10</v>
      </c>
      <c r="I7">
        <v>10</v>
      </c>
      <c r="J7">
        <v>10</v>
      </c>
    </row>
    <row r="8" spans="1:10" x14ac:dyDescent="0.25">
      <c r="A8">
        <v>6</v>
      </c>
      <c r="B8">
        <v>10</v>
      </c>
      <c r="C8">
        <v>10</v>
      </c>
      <c r="D8">
        <v>10</v>
      </c>
      <c r="E8">
        <v>10</v>
      </c>
      <c r="F8">
        <v>10</v>
      </c>
      <c r="G8">
        <v>10</v>
      </c>
      <c r="H8">
        <v>10</v>
      </c>
      <c r="I8">
        <v>10</v>
      </c>
      <c r="J8">
        <v>10</v>
      </c>
    </row>
    <row r="9" spans="1:10" x14ac:dyDescent="0.25">
      <c r="A9">
        <v>7</v>
      </c>
      <c r="B9">
        <v>10</v>
      </c>
      <c r="C9">
        <v>10</v>
      </c>
      <c r="D9">
        <v>10</v>
      </c>
      <c r="E9">
        <v>10</v>
      </c>
      <c r="F9">
        <v>10</v>
      </c>
      <c r="G9">
        <v>10</v>
      </c>
      <c r="H9">
        <v>10</v>
      </c>
      <c r="I9">
        <v>10</v>
      </c>
      <c r="J9">
        <v>10</v>
      </c>
    </row>
    <row r="10" spans="1:10" x14ac:dyDescent="0.25">
      <c r="A10">
        <v>8</v>
      </c>
      <c r="B10">
        <v>10</v>
      </c>
      <c r="C10">
        <v>10</v>
      </c>
      <c r="D10">
        <v>10</v>
      </c>
      <c r="E10">
        <v>10</v>
      </c>
      <c r="F10">
        <v>10</v>
      </c>
      <c r="G10">
        <v>10</v>
      </c>
      <c r="H10">
        <v>10</v>
      </c>
      <c r="I10">
        <v>10</v>
      </c>
      <c r="J10">
        <v>10</v>
      </c>
    </row>
    <row r="11" spans="1:10" x14ac:dyDescent="0.25">
      <c r="A11">
        <v>9</v>
      </c>
      <c r="B11">
        <v>7</v>
      </c>
      <c r="C11">
        <v>7</v>
      </c>
      <c r="D11">
        <v>7</v>
      </c>
      <c r="E11">
        <v>7</v>
      </c>
      <c r="F11">
        <v>7</v>
      </c>
      <c r="G11">
        <v>7</v>
      </c>
      <c r="H11">
        <v>7</v>
      </c>
      <c r="I11">
        <v>7</v>
      </c>
      <c r="J11">
        <v>7</v>
      </c>
    </row>
    <row r="12" spans="1:10" x14ac:dyDescent="0.25">
      <c r="A12" t="s">
        <v>2</v>
      </c>
      <c r="B12" t="s">
        <v>8</v>
      </c>
      <c r="C12" t="s">
        <v>8</v>
      </c>
      <c r="D12" t="s">
        <v>8</v>
      </c>
      <c r="E12" t="s">
        <v>8</v>
      </c>
      <c r="F12" t="s">
        <v>8</v>
      </c>
      <c r="G12" t="s">
        <v>8</v>
      </c>
      <c r="H12" t="s">
        <v>8</v>
      </c>
      <c r="I12" t="s">
        <v>8</v>
      </c>
      <c r="J12" t="s">
        <v>8</v>
      </c>
    </row>
    <row r="13" spans="1:10" x14ac:dyDescent="0.25">
      <c r="A13">
        <v>11</v>
      </c>
      <c r="B13">
        <v>8</v>
      </c>
      <c r="C13">
        <v>8</v>
      </c>
      <c r="D13">
        <v>8</v>
      </c>
      <c r="E13">
        <v>8</v>
      </c>
      <c r="F13">
        <v>8</v>
      </c>
      <c r="G13">
        <v>8</v>
      </c>
      <c r="H13">
        <v>9</v>
      </c>
      <c r="I13">
        <v>9</v>
      </c>
      <c r="J13">
        <v>8</v>
      </c>
    </row>
    <row r="14" spans="1:10" x14ac:dyDescent="0.25">
      <c r="A14">
        <v>12</v>
      </c>
      <c r="B14">
        <v>10</v>
      </c>
      <c r="C14">
        <v>10</v>
      </c>
      <c r="D14">
        <v>10</v>
      </c>
      <c r="E14">
        <v>10</v>
      </c>
      <c r="F14">
        <v>10</v>
      </c>
      <c r="G14">
        <v>10</v>
      </c>
      <c r="H14">
        <v>10</v>
      </c>
      <c r="I14">
        <v>10</v>
      </c>
      <c r="J14">
        <v>10</v>
      </c>
    </row>
    <row r="15" spans="1:10" x14ac:dyDescent="0.25">
      <c r="A15">
        <v>13</v>
      </c>
      <c r="B15">
        <v>10</v>
      </c>
      <c r="C15">
        <v>10</v>
      </c>
      <c r="D15">
        <v>10</v>
      </c>
      <c r="E15">
        <v>10</v>
      </c>
      <c r="F15">
        <v>10</v>
      </c>
      <c r="G15">
        <v>10</v>
      </c>
      <c r="H15">
        <v>10</v>
      </c>
      <c r="I15">
        <v>10</v>
      </c>
      <c r="J15">
        <v>10</v>
      </c>
    </row>
    <row r="16" spans="1:10" x14ac:dyDescent="0.25">
      <c r="A16">
        <v>14</v>
      </c>
      <c r="B16">
        <v>10</v>
      </c>
      <c r="C16">
        <v>10</v>
      </c>
      <c r="D16">
        <v>10</v>
      </c>
      <c r="E16">
        <v>10</v>
      </c>
      <c r="F16">
        <v>10</v>
      </c>
      <c r="G16">
        <v>10</v>
      </c>
      <c r="H16">
        <v>10</v>
      </c>
      <c r="I16">
        <v>10</v>
      </c>
      <c r="J16">
        <v>10</v>
      </c>
    </row>
    <row r="17" spans="1:10" x14ac:dyDescent="0.25">
      <c r="A17">
        <v>15</v>
      </c>
      <c r="B17">
        <v>10</v>
      </c>
      <c r="C17">
        <v>10</v>
      </c>
      <c r="D17">
        <v>10</v>
      </c>
      <c r="E17">
        <v>10</v>
      </c>
      <c r="F17">
        <v>10</v>
      </c>
      <c r="G17">
        <v>10</v>
      </c>
      <c r="H17">
        <v>10</v>
      </c>
      <c r="I17">
        <v>10</v>
      </c>
      <c r="J17">
        <v>10</v>
      </c>
    </row>
    <row r="18" spans="1:10" x14ac:dyDescent="0.25">
      <c r="A18">
        <v>16</v>
      </c>
      <c r="B18">
        <v>7</v>
      </c>
      <c r="C18">
        <v>7</v>
      </c>
      <c r="D18">
        <v>7</v>
      </c>
      <c r="E18">
        <v>7</v>
      </c>
      <c r="F18">
        <v>7</v>
      </c>
      <c r="G18">
        <v>7</v>
      </c>
      <c r="H18">
        <v>8</v>
      </c>
      <c r="I18">
        <v>8</v>
      </c>
      <c r="J18">
        <v>7</v>
      </c>
    </row>
    <row r="19" spans="1:10" x14ac:dyDescent="0.25">
      <c r="A19" t="s">
        <v>3</v>
      </c>
      <c r="B19" t="s">
        <v>8</v>
      </c>
      <c r="C19" t="s">
        <v>8</v>
      </c>
      <c r="D19" t="s">
        <v>8</v>
      </c>
      <c r="E19" t="s">
        <v>8</v>
      </c>
      <c r="F19" t="s">
        <v>8</v>
      </c>
      <c r="G19" t="s">
        <v>8</v>
      </c>
      <c r="H19" t="s">
        <v>8</v>
      </c>
      <c r="I19" t="s">
        <v>8</v>
      </c>
      <c r="J19" t="s">
        <v>8</v>
      </c>
    </row>
    <row r="20" spans="1:10" x14ac:dyDescent="0.25">
      <c r="A20">
        <v>18</v>
      </c>
      <c r="B20">
        <v>10</v>
      </c>
      <c r="C20">
        <v>10</v>
      </c>
      <c r="E20">
        <v>10</v>
      </c>
      <c r="F20">
        <v>10</v>
      </c>
      <c r="G20">
        <v>10</v>
      </c>
      <c r="H20">
        <v>10</v>
      </c>
      <c r="I20" s="1"/>
      <c r="J20">
        <v>10</v>
      </c>
    </row>
    <row r="21" spans="1:10" x14ac:dyDescent="0.25">
      <c r="A21">
        <v>19</v>
      </c>
      <c r="B21">
        <v>10</v>
      </c>
      <c r="C21">
        <v>10</v>
      </c>
      <c r="D21">
        <v>10</v>
      </c>
      <c r="E21">
        <v>10</v>
      </c>
      <c r="F21">
        <v>10</v>
      </c>
      <c r="G21">
        <v>10</v>
      </c>
      <c r="H21">
        <v>10</v>
      </c>
      <c r="I21" s="1"/>
      <c r="J21">
        <v>10</v>
      </c>
    </row>
    <row r="22" spans="1:10" x14ac:dyDescent="0.25">
      <c r="A22">
        <v>20</v>
      </c>
      <c r="B22">
        <v>10</v>
      </c>
      <c r="C22">
        <v>10</v>
      </c>
      <c r="D22">
        <v>10</v>
      </c>
      <c r="E22">
        <v>10</v>
      </c>
      <c r="F22">
        <v>10</v>
      </c>
      <c r="G22">
        <v>10</v>
      </c>
      <c r="H22">
        <v>10</v>
      </c>
      <c r="I22" s="1"/>
      <c r="J22">
        <v>10</v>
      </c>
    </row>
    <row r="23" spans="1:10" x14ac:dyDescent="0.25">
      <c r="A23">
        <v>21</v>
      </c>
      <c r="B23">
        <v>10</v>
      </c>
      <c r="C23">
        <v>10</v>
      </c>
      <c r="D23">
        <v>11</v>
      </c>
      <c r="E23">
        <v>10</v>
      </c>
      <c r="F23">
        <v>10</v>
      </c>
      <c r="G23">
        <v>11</v>
      </c>
      <c r="H23">
        <v>10</v>
      </c>
      <c r="I23" s="1"/>
      <c r="J23">
        <v>10</v>
      </c>
    </row>
    <row r="24" spans="1:10" x14ac:dyDescent="0.25">
      <c r="A24">
        <v>22</v>
      </c>
      <c r="B24">
        <v>10</v>
      </c>
      <c r="C24">
        <v>10</v>
      </c>
      <c r="D24">
        <v>10</v>
      </c>
      <c r="E24">
        <v>10</v>
      </c>
      <c r="F24">
        <v>10</v>
      </c>
      <c r="G24">
        <v>10</v>
      </c>
      <c r="H24">
        <v>10</v>
      </c>
      <c r="I24" s="1"/>
      <c r="J24">
        <v>10</v>
      </c>
    </row>
    <row r="25" spans="1:10" x14ac:dyDescent="0.25">
      <c r="A25">
        <v>23</v>
      </c>
      <c r="B25">
        <v>7</v>
      </c>
      <c r="C25">
        <v>7</v>
      </c>
      <c r="D25">
        <v>7.5</v>
      </c>
      <c r="E25">
        <v>7</v>
      </c>
      <c r="F25">
        <v>7</v>
      </c>
      <c r="G25">
        <v>7.5</v>
      </c>
      <c r="H25">
        <v>8</v>
      </c>
      <c r="I25" s="1"/>
      <c r="J25">
        <v>7</v>
      </c>
    </row>
    <row r="26" spans="1:10" x14ac:dyDescent="0.25">
      <c r="A26" t="s">
        <v>4</v>
      </c>
      <c r="B26" t="s">
        <v>8</v>
      </c>
      <c r="C26" t="s">
        <v>8</v>
      </c>
      <c r="D26" t="s">
        <v>8</v>
      </c>
      <c r="E26" t="s">
        <v>8</v>
      </c>
      <c r="F26" t="s">
        <v>8</v>
      </c>
      <c r="G26" t="s">
        <v>8</v>
      </c>
      <c r="H26" t="s">
        <v>8</v>
      </c>
      <c r="I26" s="1"/>
      <c r="J26" t="s">
        <v>8</v>
      </c>
    </row>
    <row r="27" spans="1:10" x14ac:dyDescent="0.25">
      <c r="A27">
        <v>25</v>
      </c>
      <c r="B27">
        <v>10</v>
      </c>
      <c r="C27" t="s">
        <v>41</v>
      </c>
      <c r="D27">
        <v>10</v>
      </c>
      <c r="E27">
        <v>10</v>
      </c>
      <c r="F27">
        <v>10</v>
      </c>
      <c r="G27">
        <v>10</v>
      </c>
      <c r="H27">
        <v>10</v>
      </c>
      <c r="I27" s="1"/>
      <c r="J27">
        <v>10</v>
      </c>
    </row>
    <row r="28" spans="1:10" x14ac:dyDescent="0.25">
      <c r="A28">
        <v>26</v>
      </c>
      <c r="B28">
        <v>10</v>
      </c>
      <c r="C28" t="s">
        <v>41</v>
      </c>
      <c r="D28">
        <v>11</v>
      </c>
      <c r="E28">
        <v>10</v>
      </c>
      <c r="F28">
        <v>10</v>
      </c>
      <c r="G28">
        <v>11</v>
      </c>
      <c r="H28">
        <v>10</v>
      </c>
      <c r="I28" s="1"/>
      <c r="J28">
        <v>10</v>
      </c>
    </row>
    <row r="29" spans="1:10" x14ac:dyDescent="0.25">
      <c r="A29">
        <v>27</v>
      </c>
      <c r="B29">
        <v>10</v>
      </c>
      <c r="C29" t="s">
        <v>41</v>
      </c>
      <c r="D29">
        <v>9</v>
      </c>
      <c r="E29">
        <v>10</v>
      </c>
      <c r="F29">
        <v>10</v>
      </c>
      <c r="G29">
        <v>10</v>
      </c>
      <c r="H29">
        <v>10</v>
      </c>
      <c r="I29" s="1"/>
      <c r="J29">
        <v>10</v>
      </c>
    </row>
    <row r="30" spans="1:10" x14ac:dyDescent="0.25">
      <c r="A30">
        <v>28</v>
      </c>
      <c r="B30">
        <v>10</v>
      </c>
      <c r="C30" t="s">
        <v>41</v>
      </c>
      <c r="D30">
        <v>10</v>
      </c>
      <c r="E30">
        <v>10</v>
      </c>
      <c r="F30">
        <v>10</v>
      </c>
      <c r="G30">
        <v>10</v>
      </c>
      <c r="H30">
        <v>10</v>
      </c>
      <c r="I30" s="1"/>
      <c r="J30">
        <v>10</v>
      </c>
    </row>
    <row r="31" spans="1:10" x14ac:dyDescent="0.25">
      <c r="A31">
        <v>29</v>
      </c>
      <c r="B31">
        <v>10</v>
      </c>
      <c r="C31" t="s">
        <v>41</v>
      </c>
      <c r="D31">
        <v>10</v>
      </c>
      <c r="E31">
        <v>10</v>
      </c>
      <c r="F31">
        <v>10</v>
      </c>
      <c r="G31">
        <v>10</v>
      </c>
      <c r="H31">
        <v>10</v>
      </c>
      <c r="I31" s="1"/>
      <c r="J31">
        <v>10</v>
      </c>
    </row>
    <row r="32" spans="1:10" x14ac:dyDescent="0.25">
      <c r="A32">
        <v>30</v>
      </c>
      <c r="B32">
        <v>5</v>
      </c>
      <c r="C32" t="s">
        <v>41</v>
      </c>
      <c r="D32">
        <v>5</v>
      </c>
      <c r="E32">
        <v>7</v>
      </c>
      <c r="F32">
        <v>5</v>
      </c>
      <c r="G32">
        <v>5</v>
      </c>
      <c r="H32">
        <v>7</v>
      </c>
      <c r="I32" s="1"/>
      <c r="J32">
        <v>7</v>
      </c>
    </row>
    <row r="33" spans="1:10" x14ac:dyDescent="0.25">
      <c r="A33" t="s">
        <v>5</v>
      </c>
      <c r="B33" t="s">
        <v>8</v>
      </c>
      <c r="C33" t="s">
        <v>8</v>
      </c>
      <c r="D33" t="s">
        <v>8</v>
      </c>
      <c r="E33" t="s">
        <v>8</v>
      </c>
      <c r="F33" t="s">
        <v>8</v>
      </c>
      <c r="G33" t="s">
        <v>8</v>
      </c>
      <c r="H33" t="s">
        <v>8</v>
      </c>
      <c r="I33" s="1"/>
      <c r="J33" t="s">
        <v>8</v>
      </c>
    </row>
    <row r="34" spans="1:10" x14ac:dyDescent="0.25">
      <c r="A34" t="s">
        <v>6</v>
      </c>
      <c r="B34">
        <f t="shared" ref="B34:J34" si="0">SUM(B3:B33)</f>
        <v>239</v>
      </c>
      <c r="C34">
        <f t="shared" si="0"/>
        <v>184</v>
      </c>
      <c r="D34">
        <f t="shared" si="0"/>
        <v>235.5</v>
      </c>
      <c r="E34">
        <f t="shared" si="0"/>
        <v>241</v>
      </c>
      <c r="F34">
        <f t="shared" si="0"/>
        <v>231</v>
      </c>
      <c r="G34">
        <f t="shared" si="0"/>
        <v>233.5</v>
      </c>
      <c r="H34">
        <f t="shared" si="0"/>
        <v>245</v>
      </c>
      <c r="I34">
        <f t="shared" si="0"/>
        <v>130</v>
      </c>
      <c r="J34">
        <f t="shared" si="0"/>
        <v>241</v>
      </c>
    </row>
  </sheetData>
  <conditionalFormatting sqref="A1:XFD1">
    <cfRule type="duplicateValues" dxfId="11" priority="1"/>
  </conditionalFormatting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0494F-D07C-4A26-8681-E0D13BF8EC03}">
  <sheetPr>
    <tabColor theme="6" tint="0.79998168889431442"/>
  </sheetPr>
  <dimension ref="A1:E34"/>
  <sheetViews>
    <sheetView rightToLeft="1" workbookViewId="0">
      <selection activeCell="B1" sqref="B1"/>
    </sheetView>
  </sheetViews>
  <sheetFormatPr defaultRowHeight="13.8" x14ac:dyDescent="0.25"/>
  <sheetData>
    <row r="1" spans="1:5" x14ac:dyDescent="0.25">
      <c r="A1" t="s">
        <v>0</v>
      </c>
      <c r="B1" t="s">
        <v>184</v>
      </c>
      <c r="C1" t="s">
        <v>185</v>
      </c>
      <c r="D1" t="s">
        <v>187</v>
      </c>
      <c r="E1" t="s">
        <v>189</v>
      </c>
    </row>
    <row r="2" spans="1:5" x14ac:dyDescent="0.25">
      <c r="B2" t="s">
        <v>68</v>
      </c>
      <c r="C2" t="s">
        <v>186</v>
      </c>
      <c r="D2" t="s">
        <v>188</v>
      </c>
      <c r="E2" t="s">
        <v>190</v>
      </c>
    </row>
    <row r="3" spans="1:5" x14ac:dyDescent="0.25">
      <c r="A3">
        <v>1</v>
      </c>
      <c r="B3">
        <v>10</v>
      </c>
      <c r="C3">
        <v>10</v>
      </c>
      <c r="D3">
        <v>10</v>
      </c>
      <c r="E3">
        <v>10</v>
      </c>
    </row>
    <row r="4" spans="1:5" x14ac:dyDescent="0.25">
      <c r="A4">
        <v>2</v>
      </c>
      <c r="B4">
        <v>5</v>
      </c>
      <c r="C4">
        <v>5</v>
      </c>
      <c r="D4">
        <v>6</v>
      </c>
      <c r="E4">
        <v>5</v>
      </c>
    </row>
    <row r="5" spans="1:5" x14ac:dyDescent="0.25">
      <c r="A5" t="s">
        <v>1</v>
      </c>
      <c r="B5" t="s">
        <v>8</v>
      </c>
      <c r="C5" t="s">
        <v>8</v>
      </c>
      <c r="D5" t="s">
        <v>8</v>
      </c>
      <c r="E5" t="s">
        <v>8</v>
      </c>
    </row>
    <row r="6" spans="1:5" x14ac:dyDescent="0.25">
      <c r="A6">
        <v>4</v>
      </c>
      <c r="B6">
        <v>10</v>
      </c>
      <c r="C6">
        <v>10</v>
      </c>
      <c r="D6">
        <v>10</v>
      </c>
      <c r="E6">
        <v>10</v>
      </c>
    </row>
    <row r="7" spans="1:5" x14ac:dyDescent="0.25">
      <c r="A7">
        <v>5</v>
      </c>
      <c r="B7">
        <v>10</v>
      </c>
      <c r="C7">
        <v>10</v>
      </c>
      <c r="D7">
        <v>10</v>
      </c>
      <c r="E7">
        <v>10</v>
      </c>
    </row>
    <row r="8" spans="1:5" x14ac:dyDescent="0.25">
      <c r="A8">
        <v>6</v>
      </c>
      <c r="B8">
        <v>10</v>
      </c>
      <c r="C8">
        <v>10</v>
      </c>
      <c r="D8">
        <v>10</v>
      </c>
      <c r="E8">
        <v>10</v>
      </c>
    </row>
    <row r="9" spans="1:5" x14ac:dyDescent="0.25">
      <c r="A9">
        <v>7</v>
      </c>
      <c r="B9">
        <v>10</v>
      </c>
      <c r="C9">
        <v>10</v>
      </c>
      <c r="D9">
        <v>10</v>
      </c>
      <c r="E9">
        <v>10</v>
      </c>
    </row>
    <row r="10" spans="1:5" x14ac:dyDescent="0.25">
      <c r="A10">
        <v>8</v>
      </c>
      <c r="B10">
        <v>10</v>
      </c>
      <c r="C10">
        <v>10</v>
      </c>
      <c r="D10">
        <v>10</v>
      </c>
      <c r="E10">
        <v>10</v>
      </c>
    </row>
    <row r="11" spans="1:5" x14ac:dyDescent="0.25">
      <c r="A11">
        <v>9</v>
      </c>
      <c r="B11">
        <v>5</v>
      </c>
      <c r="C11">
        <v>5</v>
      </c>
      <c r="D11">
        <v>6</v>
      </c>
      <c r="E11">
        <v>5</v>
      </c>
    </row>
    <row r="12" spans="1:5" x14ac:dyDescent="0.25">
      <c r="A12" t="s">
        <v>2</v>
      </c>
      <c r="B12" t="s">
        <v>8</v>
      </c>
      <c r="C12" t="s">
        <v>8</v>
      </c>
      <c r="D12" t="s">
        <v>8</v>
      </c>
      <c r="E12" t="s">
        <v>8</v>
      </c>
    </row>
    <row r="13" spans="1:5" x14ac:dyDescent="0.25">
      <c r="A13">
        <v>11</v>
      </c>
      <c r="B13">
        <v>10</v>
      </c>
      <c r="C13">
        <v>10</v>
      </c>
      <c r="D13" t="s">
        <v>41</v>
      </c>
      <c r="E13">
        <v>10</v>
      </c>
    </row>
    <row r="14" spans="1:5" x14ac:dyDescent="0.25">
      <c r="A14">
        <v>12</v>
      </c>
      <c r="B14">
        <v>10</v>
      </c>
      <c r="C14">
        <v>10</v>
      </c>
      <c r="D14">
        <v>10</v>
      </c>
      <c r="E14">
        <v>10</v>
      </c>
    </row>
    <row r="15" spans="1:5" x14ac:dyDescent="0.25">
      <c r="A15">
        <v>13</v>
      </c>
      <c r="B15" t="s">
        <v>41</v>
      </c>
      <c r="C15" t="s">
        <v>41</v>
      </c>
      <c r="D15" t="s">
        <v>41</v>
      </c>
      <c r="E15" t="s">
        <v>41</v>
      </c>
    </row>
    <row r="16" spans="1:5" x14ac:dyDescent="0.25">
      <c r="A16">
        <v>14</v>
      </c>
      <c r="B16">
        <v>11</v>
      </c>
      <c r="C16">
        <v>10</v>
      </c>
      <c r="D16">
        <v>10</v>
      </c>
      <c r="E16">
        <v>11</v>
      </c>
    </row>
    <row r="17" spans="1:5" x14ac:dyDescent="0.25">
      <c r="A17">
        <v>15</v>
      </c>
      <c r="B17">
        <v>10</v>
      </c>
      <c r="C17">
        <v>10</v>
      </c>
      <c r="D17">
        <v>10</v>
      </c>
      <c r="E17">
        <v>10</v>
      </c>
    </row>
    <row r="18" spans="1:5" x14ac:dyDescent="0.25">
      <c r="A18">
        <v>16</v>
      </c>
      <c r="B18">
        <v>5</v>
      </c>
      <c r="C18">
        <v>5</v>
      </c>
      <c r="D18">
        <v>6</v>
      </c>
      <c r="E18">
        <v>5</v>
      </c>
    </row>
    <row r="19" spans="1:5" x14ac:dyDescent="0.25">
      <c r="A19" t="s">
        <v>3</v>
      </c>
      <c r="B19" t="s">
        <v>8</v>
      </c>
      <c r="C19" t="s">
        <v>8</v>
      </c>
      <c r="D19" t="s">
        <v>8</v>
      </c>
      <c r="E19" t="s">
        <v>8</v>
      </c>
    </row>
    <row r="20" spans="1:5" x14ac:dyDescent="0.25">
      <c r="A20">
        <v>18</v>
      </c>
      <c r="B20">
        <v>10</v>
      </c>
      <c r="C20">
        <v>10</v>
      </c>
      <c r="D20">
        <v>10</v>
      </c>
      <c r="E20">
        <v>10</v>
      </c>
    </row>
    <row r="21" spans="1:5" x14ac:dyDescent="0.25">
      <c r="A21">
        <v>19</v>
      </c>
      <c r="B21">
        <v>10</v>
      </c>
      <c r="C21">
        <v>10</v>
      </c>
      <c r="D21">
        <v>10</v>
      </c>
      <c r="E21">
        <v>10</v>
      </c>
    </row>
    <row r="22" spans="1:5" x14ac:dyDescent="0.25">
      <c r="A22">
        <v>20</v>
      </c>
      <c r="B22">
        <v>10</v>
      </c>
      <c r="C22">
        <v>10</v>
      </c>
      <c r="D22">
        <v>10</v>
      </c>
      <c r="E22">
        <v>10</v>
      </c>
    </row>
    <row r="23" spans="1:5" x14ac:dyDescent="0.25">
      <c r="A23">
        <v>21</v>
      </c>
      <c r="B23">
        <v>10</v>
      </c>
      <c r="C23">
        <v>10</v>
      </c>
      <c r="D23">
        <v>10</v>
      </c>
      <c r="E23">
        <v>10</v>
      </c>
    </row>
    <row r="24" spans="1:5" x14ac:dyDescent="0.25">
      <c r="A24">
        <v>22</v>
      </c>
      <c r="B24">
        <v>10</v>
      </c>
      <c r="C24">
        <v>10</v>
      </c>
      <c r="D24">
        <v>10</v>
      </c>
      <c r="E24">
        <v>10</v>
      </c>
    </row>
    <row r="25" spans="1:5" x14ac:dyDescent="0.25">
      <c r="A25">
        <v>23</v>
      </c>
      <c r="B25">
        <v>5</v>
      </c>
      <c r="C25">
        <v>5</v>
      </c>
      <c r="D25">
        <v>6</v>
      </c>
      <c r="E25">
        <v>5</v>
      </c>
    </row>
    <row r="26" spans="1:5" x14ac:dyDescent="0.25">
      <c r="A26" t="s">
        <v>4</v>
      </c>
      <c r="B26" t="s">
        <v>8</v>
      </c>
      <c r="C26" t="s">
        <v>8</v>
      </c>
      <c r="D26" t="s">
        <v>8</v>
      </c>
      <c r="E26" t="s">
        <v>8</v>
      </c>
    </row>
    <row r="27" spans="1:5" x14ac:dyDescent="0.25">
      <c r="A27">
        <v>25</v>
      </c>
      <c r="B27">
        <v>10</v>
      </c>
      <c r="C27">
        <v>10</v>
      </c>
      <c r="D27">
        <v>10</v>
      </c>
      <c r="E27">
        <v>10</v>
      </c>
    </row>
    <row r="28" spans="1:5" x14ac:dyDescent="0.25">
      <c r="A28">
        <v>26</v>
      </c>
      <c r="B28">
        <v>10</v>
      </c>
      <c r="C28">
        <v>10</v>
      </c>
      <c r="D28">
        <v>10</v>
      </c>
      <c r="E28">
        <v>10</v>
      </c>
    </row>
    <row r="29" spans="1:5" x14ac:dyDescent="0.25">
      <c r="A29">
        <v>27</v>
      </c>
      <c r="B29">
        <v>10</v>
      </c>
      <c r="C29">
        <v>10</v>
      </c>
      <c r="D29">
        <v>10</v>
      </c>
      <c r="E29">
        <v>10</v>
      </c>
    </row>
    <row r="30" spans="1:5" x14ac:dyDescent="0.25">
      <c r="A30">
        <v>28</v>
      </c>
      <c r="B30">
        <v>10</v>
      </c>
      <c r="C30">
        <v>10</v>
      </c>
      <c r="D30">
        <v>10</v>
      </c>
      <c r="E30">
        <v>10</v>
      </c>
    </row>
    <row r="31" spans="1:5" x14ac:dyDescent="0.25">
      <c r="A31">
        <v>29</v>
      </c>
      <c r="B31">
        <v>10</v>
      </c>
      <c r="C31">
        <v>10</v>
      </c>
      <c r="D31">
        <v>10</v>
      </c>
      <c r="E31">
        <v>10</v>
      </c>
    </row>
    <row r="32" spans="1:5" x14ac:dyDescent="0.25">
      <c r="A32">
        <v>30</v>
      </c>
      <c r="B32">
        <v>5</v>
      </c>
      <c r="C32">
        <v>5</v>
      </c>
      <c r="D32">
        <v>6</v>
      </c>
      <c r="E32">
        <v>5</v>
      </c>
    </row>
    <row r="33" spans="1:5" x14ac:dyDescent="0.25">
      <c r="A33" t="s">
        <v>5</v>
      </c>
      <c r="B33" t="s">
        <v>8</v>
      </c>
      <c r="C33" t="s">
        <v>8</v>
      </c>
      <c r="D33" t="s">
        <v>8</v>
      </c>
      <c r="E33" t="s">
        <v>8</v>
      </c>
    </row>
    <row r="34" spans="1:5" x14ac:dyDescent="0.25">
      <c r="A34" t="s">
        <v>6</v>
      </c>
      <c r="B34">
        <f>SUM(B3:B33)</f>
        <v>226</v>
      </c>
      <c r="C34">
        <f>SUM(C3:C33)</f>
        <v>225</v>
      </c>
      <c r="D34">
        <f>SUM(D3:D33)</f>
        <v>220</v>
      </c>
      <c r="E34">
        <f t="shared" ref="E34" si="0">SUM(E3:E33)</f>
        <v>226</v>
      </c>
    </row>
  </sheetData>
  <conditionalFormatting sqref="A1:XFD1">
    <cfRule type="duplicateValues" dxfId="10" priority="1"/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801D1-519F-4ABC-AA4A-BC96037729E2}">
  <sheetPr>
    <tabColor theme="6" tint="0.79998168889431442"/>
  </sheetPr>
  <dimension ref="A1:E38"/>
  <sheetViews>
    <sheetView rightToLeft="1" topLeftCell="A10" workbookViewId="0">
      <selection activeCell="E1" sqref="E1"/>
    </sheetView>
  </sheetViews>
  <sheetFormatPr defaultRowHeight="13.8" x14ac:dyDescent="0.25"/>
  <sheetData>
    <row r="1" spans="1:5" x14ac:dyDescent="0.25">
      <c r="A1" t="s">
        <v>0</v>
      </c>
      <c r="B1" t="s">
        <v>126</v>
      </c>
      <c r="C1" s="3" t="s">
        <v>128</v>
      </c>
      <c r="D1" t="s">
        <v>211</v>
      </c>
      <c r="E1" t="s">
        <v>213</v>
      </c>
    </row>
    <row r="2" spans="1:5" x14ac:dyDescent="0.25">
      <c r="B2" t="s">
        <v>127</v>
      </c>
      <c r="C2" t="s">
        <v>129</v>
      </c>
      <c r="D2" t="s">
        <v>212</v>
      </c>
      <c r="E2" t="s">
        <v>214</v>
      </c>
    </row>
    <row r="3" spans="1:5" x14ac:dyDescent="0.25">
      <c r="A3">
        <v>1</v>
      </c>
      <c r="B3" t="s">
        <v>41</v>
      </c>
      <c r="D3">
        <v>9.5</v>
      </c>
      <c r="E3" t="s">
        <v>41</v>
      </c>
    </row>
    <row r="4" spans="1:5" x14ac:dyDescent="0.25">
      <c r="A4">
        <v>2</v>
      </c>
      <c r="B4" t="s">
        <v>74</v>
      </c>
      <c r="D4" t="s">
        <v>41</v>
      </c>
      <c r="E4" t="s">
        <v>41</v>
      </c>
    </row>
    <row r="5" spans="1:5" x14ac:dyDescent="0.25">
      <c r="A5" t="s">
        <v>1</v>
      </c>
      <c r="B5" t="s">
        <v>8</v>
      </c>
      <c r="C5" t="s">
        <v>8</v>
      </c>
      <c r="D5" t="s">
        <v>8</v>
      </c>
      <c r="E5" t="s">
        <v>8</v>
      </c>
    </row>
    <row r="6" spans="1:5" x14ac:dyDescent="0.25">
      <c r="A6">
        <v>4</v>
      </c>
      <c r="B6">
        <v>8</v>
      </c>
      <c r="D6">
        <v>11</v>
      </c>
      <c r="E6">
        <v>11</v>
      </c>
    </row>
    <row r="7" spans="1:5" x14ac:dyDescent="0.25">
      <c r="A7">
        <v>5</v>
      </c>
      <c r="B7">
        <v>8</v>
      </c>
      <c r="C7">
        <v>9</v>
      </c>
      <c r="D7">
        <v>8.5</v>
      </c>
      <c r="E7">
        <v>8.5</v>
      </c>
    </row>
    <row r="8" spans="1:5" x14ac:dyDescent="0.25">
      <c r="A8">
        <v>6</v>
      </c>
      <c r="B8">
        <v>8</v>
      </c>
      <c r="C8">
        <v>10</v>
      </c>
      <c r="D8">
        <v>10</v>
      </c>
      <c r="E8">
        <v>10</v>
      </c>
    </row>
    <row r="9" spans="1:5" x14ac:dyDescent="0.25">
      <c r="A9">
        <v>7</v>
      </c>
      <c r="B9">
        <v>7</v>
      </c>
      <c r="C9">
        <v>9.5</v>
      </c>
      <c r="D9">
        <v>11</v>
      </c>
      <c r="E9">
        <v>11</v>
      </c>
    </row>
    <row r="10" spans="1:5" x14ac:dyDescent="0.25">
      <c r="A10">
        <v>8</v>
      </c>
      <c r="B10">
        <v>6</v>
      </c>
      <c r="C10">
        <v>9.5</v>
      </c>
      <c r="D10">
        <v>10.5</v>
      </c>
      <c r="E10">
        <v>10.5</v>
      </c>
    </row>
    <row r="11" spans="1:5" x14ac:dyDescent="0.25">
      <c r="A11">
        <v>9</v>
      </c>
      <c r="B11">
        <v>6</v>
      </c>
      <c r="D11" t="s">
        <v>41</v>
      </c>
      <c r="E11" s="8" t="s">
        <v>74</v>
      </c>
    </row>
    <row r="12" spans="1:5" x14ac:dyDescent="0.25">
      <c r="A12" t="s">
        <v>2</v>
      </c>
      <c r="B12" t="s">
        <v>8</v>
      </c>
      <c r="C12" t="s">
        <v>8</v>
      </c>
      <c r="D12" t="s">
        <v>8</v>
      </c>
      <c r="E12" t="s">
        <v>8</v>
      </c>
    </row>
    <row r="13" spans="1:5" x14ac:dyDescent="0.25">
      <c r="A13">
        <v>11</v>
      </c>
      <c r="B13">
        <v>7</v>
      </c>
      <c r="C13">
        <v>9.5</v>
      </c>
      <c r="D13">
        <v>11.5</v>
      </c>
      <c r="E13" s="8" t="s">
        <v>41</v>
      </c>
    </row>
    <row r="14" spans="1:5" x14ac:dyDescent="0.25">
      <c r="A14">
        <v>12</v>
      </c>
      <c r="B14">
        <v>9.5</v>
      </c>
      <c r="C14">
        <v>9.5</v>
      </c>
      <c r="D14">
        <v>8.5</v>
      </c>
      <c r="E14" t="s">
        <v>73</v>
      </c>
    </row>
    <row r="15" spans="1:5" x14ac:dyDescent="0.25">
      <c r="A15">
        <v>13</v>
      </c>
      <c r="B15" t="s">
        <v>41</v>
      </c>
      <c r="D15">
        <v>9.5</v>
      </c>
      <c r="E15" t="s">
        <v>73</v>
      </c>
    </row>
    <row r="16" spans="1:5" x14ac:dyDescent="0.25">
      <c r="A16">
        <v>14</v>
      </c>
      <c r="B16">
        <v>9.5</v>
      </c>
      <c r="C16">
        <v>9.5</v>
      </c>
      <c r="D16">
        <v>10.5</v>
      </c>
      <c r="E16" t="s">
        <v>73</v>
      </c>
    </row>
    <row r="17" spans="1:5" x14ac:dyDescent="0.25">
      <c r="A17">
        <v>15</v>
      </c>
      <c r="B17">
        <v>10</v>
      </c>
      <c r="C17">
        <v>10</v>
      </c>
      <c r="D17">
        <v>10</v>
      </c>
      <c r="E17" t="s">
        <v>73</v>
      </c>
    </row>
    <row r="18" spans="1:5" x14ac:dyDescent="0.25">
      <c r="A18">
        <v>16</v>
      </c>
      <c r="B18">
        <v>5</v>
      </c>
      <c r="C18">
        <v>5</v>
      </c>
      <c r="D18" t="s">
        <v>41</v>
      </c>
      <c r="E18" t="s">
        <v>73</v>
      </c>
    </row>
    <row r="19" spans="1:5" x14ac:dyDescent="0.25">
      <c r="A19" t="s">
        <v>3</v>
      </c>
      <c r="B19" t="s">
        <v>8</v>
      </c>
      <c r="C19" t="s">
        <v>8</v>
      </c>
      <c r="D19" t="s">
        <v>8</v>
      </c>
      <c r="E19" t="s">
        <v>8</v>
      </c>
    </row>
    <row r="20" spans="1:5" x14ac:dyDescent="0.25">
      <c r="A20">
        <v>18</v>
      </c>
      <c r="B20" t="s">
        <v>41</v>
      </c>
      <c r="D20">
        <v>11.5</v>
      </c>
      <c r="E20" t="s">
        <v>73</v>
      </c>
    </row>
    <row r="21" spans="1:5" x14ac:dyDescent="0.25">
      <c r="A21">
        <v>19</v>
      </c>
      <c r="B21">
        <v>9.5</v>
      </c>
      <c r="C21">
        <v>9.5</v>
      </c>
      <c r="D21">
        <v>9.5</v>
      </c>
      <c r="E21" t="s">
        <v>73</v>
      </c>
    </row>
    <row r="22" spans="1:5" x14ac:dyDescent="0.25">
      <c r="A22">
        <v>20</v>
      </c>
      <c r="B22">
        <v>9.5</v>
      </c>
      <c r="C22">
        <v>9.5</v>
      </c>
      <c r="D22">
        <v>8.5</v>
      </c>
      <c r="E22" t="s">
        <v>73</v>
      </c>
    </row>
    <row r="23" spans="1:5" x14ac:dyDescent="0.25">
      <c r="A23">
        <v>21</v>
      </c>
      <c r="B23" t="s">
        <v>41</v>
      </c>
      <c r="C23">
        <v>10</v>
      </c>
      <c r="D23">
        <v>10</v>
      </c>
      <c r="E23" t="s">
        <v>73</v>
      </c>
    </row>
    <row r="24" spans="1:5" x14ac:dyDescent="0.25">
      <c r="A24">
        <v>22</v>
      </c>
      <c r="B24">
        <v>8.5</v>
      </c>
      <c r="C24">
        <v>8</v>
      </c>
      <c r="D24">
        <v>8.5</v>
      </c>
      <c r="E24" t="s">
        <v>73</v>
      </c>
    </row>
    <row r="25" spans="1:5" x14ac:dyDescent="0.25">
      <c r="A25">
        <v>23</v>
      </c>
      <c r="B25" t="s">
        <v>41</v>
      </c>
      <c r="D25" t="s">
        <v>41</v>
      </c>
      <c r="E25" t="s">
        <v>73</v>
      </c>
    </row>
    <row r="26" spans="1:5" x14ac:dyDescent="0.25">
      <c r="A26" t="s">
        <v>4</v>
      </c>
      <c r="B26" t="s">
        <v>8</v>
      </c>
      <c r="C26" t="s">
        <v>8</v>
      </c>
      <c r="D26" t="s">
        <v>8</v>
      </c>
      <c r="E26" t="s">
        <v>8</v>
      </c>
    </row>
    <row r="27" spans="1:5" x14ac:dyDescent="0.25">
      <c r="A27">
        <v>25</v>
      </c>
      <c r="B27">
        <v>4</v>
      </c>
      <c r="C27">
        <v>4</v>
      </c>
      <c r="D27">
        <v>11.5</v>
      </c>
      <c r="E27" t="s">
        <v>73</v>
      </c>
    </row>
    <row r="28" spans="1:5" x14ac:dyDescent="0.25">
      <c r="A28">
        <v>26</v>
      </c>
      <c r="B28">
        <v>9</v>
      </c>
      <c r="C28">
        <v>9</v>
      </c>
      <c r="D28">
        <v>9</v>
      </c>
      <c r="E28" t="s">
        <v>73</v>
      </c>
    </row>
    <row r="29" spans="1:5" x14ac:dyDescent="0.25">
      <c r="A29">
        <v>27</v>
      </c>
      <c r="B29">
        <v>8</v>
      </c>
      <c r="D29">
        <v>8</v>
      </c>
      <c r="E29" t="s">
        <v>73</v>
      </c>
    </row>
    <row r="30" spans="1:5" x14ac:dyDescent="0.25">
      <c r="A30">
        <v>28</v>
      </c>
      <c r="B30" t="s">
        <v>41</v>
      </c>
      <c r="D30">
        <v>9.5</v>
      </c>
      <c r="E30" t="s">
        <v>73</v>
      </c>
    </row>
    <row r="31" spans="1:5" x14ac:dyDescent="0.25">
      <c r="A31">
        <v>29</v>
      </c>
      <c r="B31">
        <v>10</v>
      </c>
      <c r="C31">
        <v>10</v>
      </c>
      <c r="D31">
        <v>10.5</v>
      </c>
      <c r="E31" t="s">
        <v>73</v>
      </c>
    </row>
    <row r="32" spans="1:5" x14ac:dyDescent="0.25">
      <c r="A32">
        <v>30</v>
      </c>
      <c r="B32" t="s">
        <v>41</v>
      </c>
      <c r="C32">
        <v>10</v>
      </c>
      <c r="E32" t="s">
        <v>73</v>
      </c>
    </row>
    <row r="33" spans="1:5" x14ac:dyDescent="0.25">
      <c r="A33" t="s">
        <v>5</v>
      </c>
      <c r="B33" t="s">
        <v>8</v>
      </c>
      <c r="C33" t="s">
        <v>8</v>
      </c>
      <c r="D33" t="s">
        <v>8</v>
      </c>
      <c r="E33" t="s">
        <v>8</v>
      </c>
    </row>
    <row r="34" spans="1:5" x14ac:dyDescent="0.25">
      <c r="A34" t="s">
        <v>6</v>
      </c>
      <c r="B34">
        <f>SUM(B3:B33)</f>
        <v>142.5</v>
      </c>
      <c r="C34">
        <f>SUM(C3:C33)</f>
        <v>151.5</v>
      </c>
      <c r="D34">
        <f>SUM(D3:D33)</f>
        <v>207</v>
      </c>
      <c r="E34">
        <f>SUM(E3:E33)</f>
        <v>51</v>
      </c>
    </row>
    <row r="37" spans="1:5" x14ac:dyDescent="0.25">
      <c r="B37">
        <f>8*8</f>
        <v>64</v>
      </c>
    </row>
    <row r="38" spans="1:5" x14ac:dyDescent="0.25">
      <c r="B38">
        <f>142.5+64</f>
        <v>206.5</v>
      </c>
    </row>
  </sheetData>
  <conditionalFormatting sqref="A1:XFD1">
    <cfRule type="duplicateValues" dxfId="9" priority="1"/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0D471-5E47-4875-BC72-20F0FC20C3E1}">
  <sheetPr>
    <tabColor theme="6" tint="0.79998168889431442"/>
  </sheetPr>
  <dimension ref="A1:F34"/>
  <sheetViews>
    <sheetView rightToLeft="1" workbookViewId="0">
      <selection activeCell="F1" sqref="F1"/>
    </sheetView>
  </sheetViews>
  <sheetFormatPr defaultRowHeight="13.8" x14ac:dyDescent="0.25"/>
  <sheetData>
    <row r="1" spans="1:6" x14ac:dyDescent="0.25">
      <c r="A1" t="s">
        <v>0</v>
      </c>
      <c r="B1" t="s">
        <v>232</v>
      </c>
      <c r="C1" t="s">
        <v>218</v>
      </c>
      <c r="D1" t="s">
        <v>219</v>
      </c>
      <c r="E1" t="s">
        <v>221</v>
      </c>
      <c r="F1" s="3" t="s">
        <v>231</v>
      </c>
    </row>
    <row r="2" spans="1:6" x14ac:dyDescent="0.25">
      <c r="B2" t="s">
        <v>217</v>
      </c>
      <c r="C2" t="s">
        <v>42</v>
      </c>
      <c r="D2" t="s">
        <v>220</v>
      </c>
      <c r="E2" t="s">
        <v>44</v>
      </c>
      <c r="F2" t="s">
        <v>233</v>
      </c>
    </row>
    <row r="3" spans="1:6" x14ac:dyDescent="0.25">
      <c r="A3">
        <v>1</v>
      </c>
      <c r="B3">
        <v>10</v>
      </c>
      <c r="C3">
        <v>10</v>
      </c>
      <c r="D3" t="s">
        <v>74</v>
      </c>
      <c r="E3">
        <v>10</v>
      </c>
      <c r="F3">
        <v>2.5</v>
      </c>
    </row>
    <row r="4" spans="1:6" x14ac:dyDescent="0.25">
      <c r="A4">
        <v>2</v>
      </c>
      <c r="B4">
        <v>6</v>
      </c>
      <c r="C4">
        <v>6</v>
      </c>
      <c r="D4">
        <v>6</v>
      </c>
      <c r="E4">
        <v>6</v>
      </c>
      <c r="F4" t="s">
        <v>257</v>
      </c>
    </row>
    <row r="5" spans="1:6" x14ac:dyDescent="0.25">
      <c r="A5" t="s">
        <v>1</v>
      </c>
      <c r="B5" t="s">
        <v>8</v>
      </c>
      <c r="C5" t="s">
        <v>8</v>
      </c>
      <c r="D5" t="s">
        <v>8</v>
      </c>
      <c r="E5" t="s">
        <v>8</v>
      </c>
      <c r="F5" t="s">
        <v>41</v>
      </c>
    </row>
    <row r="6" spans="1:6" x14ac:dyDescent="0.25">
      <c r="A6">
        <v>4</v>
      </c>
      <c r="B6">
        <v>10</v>
      </c>
      <c r="C6">
        <v>10</v>
      </c>
      <c r="D6">
        <v>10</v>
      </c>
      <c r="E6">
        <v>10</v>
      </c>
    </row>
    <row r="7" spans="1:6" x14ac:dyDescent="0.25">
      <c r="A7">
        <v>5</v>
      </c>
      <c r="B7">
        <v>10</v>
      </c>
      <c r="C7">
        <v>10</v>
      </c>
      <c r="D7">
        <v>10</v>
      </c>
      <c r="E7">
        <v>10</v>
      </c>
    </row>
    <row r="8" spans="1:6" x14ac:dyDescent="0.25">
      <c r="A8">
        <v>6</v>
      </c>
      <c r="B8">
        <v>10</v>
      </c>
      <c r="C8" t="s">
        <v>41</v>
      </c>
      <c r="D8">
        <v>10</v>
      </c>
      <c r="E8">
        <v>10</v>
      </c>
    </row>
    <row r="9" spans="1:6" x14ac:dyDescent="0.25">
      <c r="A9">
        <v>7</v>
      </c>
      <c r="B9">
        <v>10</v>
      </c>
      <c r="C9">
        <v>10</v>
      </c>
      <c r="D9">
        <v>10</v>
      </c>
      <c r="E9">
        <v>10</v>
      </c>
    </row>
    <row r="10" spans="1:6" x14ac:dyDescent="0.25">
      <c r="A10">
        <v>8</v>
      </c>
      <c r="B10">
        <v>10</v>
      </c>
      <c r="C10">
        <v>10</v>
      </c>
      <c r="D10">
        <v>10</v>
      </c>
      <c r="E10">
        <v>10</v>
      </c>
    </row>
    <row r="11" spans="1:6" x14ac:dyDescent="0.25">
      <c r="A11">
        <v>9</v>
      </c>
      <c r="B11">
        <v>6</v>
      </c>
      <c r="C11">
        <v>6</v>
      </c>
      <c r="D11">
        <v>6</v>
      </c>
      <c r="E11">
        <v>6</v>
      </c>
    </row>
    <row r="12" spans="1:6" x14ac:dyDescent="0.25">
      <c r="A12" t="s">
        <v>2</v>
      </c>
      <c r="B12" t="s">
        <v>8</v>
      </c>
      <c r="C12" t="s">
        <v>8</v>
      </c>
      <c r="D12" t="s">
        <v>8</v>
      </c>
      <c r="E12" t="s">
        <v>8</v>
      </c>
    </row>
    <row r="13" spans="1:6" x14ac:dyDescent="0.25">
      <c r="A13">
        <v>11</v>
      </c>
      <c r="B13">
        <v>10</v>
      </c>
      <c r="C13">
        <v>10</v>
      </c>
      <c r="D13">
        <v>10</v>
      </c>
      <c r="E13">
        <v>10</v>
      </c>
    </row>
    <row r="14" spans="1:6" x14ac:dyDescent="0.25">
      <c r="A14">
        <v>12</v>
      </c>
      <c r="B14">
        <v>10</v>
      </c>
      <c r="C14">
        <v>10</v>
      </c>
      <c r="D14">
        <v>10</v>
      </c>
      <c r="E14">
        <v>10</v>
      </c>
    </row>
    <row r="15" spans="1:6" x14ac:dyDescent="0.25">
      <c r="A15">
        <v>13</v>
      </c>
      <c r="B15">
        <v>10</v>
      </c>
      <c r="C15" t="s">
        <v>74</v>
      </c>
      <c r="D15">
        <v>10</v>
      </c>
      <c r="E15" t="s">
        <v>41</v>
      </c>
    </row>
    <row r="16" spans="1:6" x14ac:dyDescent="0.25">
      <c r="A16">
        <v>14</v>
      </c>
      <c r="B16">
        <v>10</v>
      </c>
      <c r="C16" t="s">
        <v>41</v>
      </c>
      <c r="D16">
        <v>10</v>
      </c>
      <c r="E16">
        <v>10</v>
      </c>
    </row>
    <row r="17" spans="1:5" x14ac:dyDescent="0.25">
      <c r="A17">
        <v>15</v>
      </c>
      <c r="B17">
        <v>10</v>
      </c>
      <c r="C17">
        <v>9</v>
      </c>
      <c r="D17">
        <v>10</v>
      </c>
      <c r="E17">
        <v>10</v>
      </c>
    </row>
    <row r="18" spans="1:5" x14ac:dyDescent="0.25">
      <c r="A18">
        <v>16</v>
      </c>
      <c r="B18">
        <v>6</v>
      </c>
      <c r="C18">
        <v>6</v>
      </c>
      <c r="D18">
        <v>6</v>
      </c>
      <c r="E18">
        <v>6</v>
      </c>
    </row>
    <row r="19" spans="1:5" x14ac:dyDescent="0.25">
      <c r="A19" t="s">
        <v>3</v>
      </c>
      <c r="B19" t="s">
        <v>8</v>
      </c>
      <c r="C19" t="s">
        <v>8</v>
      </c>
      <c r="D19" t="s">
        <v>8</v>
      </c>
      <c r="E19" t="s">
        <v>8</v>
      </c>
    </row>
    <row r="20" spans="1:5" x14ac:dyDescent="0.25">
      <c r="A20">
        <v>18</v>
      </c>
      <c r="B20">
        <v>10</v>
      </c>
      <c r="C20">
        <v>10</v>
      </c>
      <c r="D20">
        <v>10</v>
      </c>
      <c r="E20">
        <v>10</v>
      </c>
    </row>
    <row r="21" spans="1:5" x14ac:dyDescent="0.25">
      <c r="A21">
        <v>19</v>
      </c>
      <c r="B21">
        <v>10</v>
      </c>
      <c r="C21">
        <v>10</v>
      </c>
      <c r="D21">
        <v>10</v>
      </c>
      <c r="E21">
        <v>10</v>
      </c>
    </row>
    <row r="22" spans="1:5" x14ac:dyDescent="0.25">
      <c r="A22">
        <v>20</v>
      </c>
      <c r="B22">
        <v>10</v>
      </c>
      <c r="C22">
        <v>10</v>
      </c>
      <c r="D22">
        <v>10</v>
      </c>
      <c r="E22">
        <v>10</v>
      </c>
    </row>
    <row r="23" spans="1:5" x14ac:dyDescent="0.25">
      <c r="A23">
        <v>21</v>
      </c>
      <c r="B23">
        <v>10</v>
      </c>
      <c r="C23">
        <v>10</v>
      </c>
      <c r="D23">
        <v>10</v>
      </c>
      <c r="E23">
        <v>10</v>
      </c>
    </row>
    <row r="24" spans="1:5" x14ac:dyDescent="0.25">
      <c r="A24">
        <v>22</v>
      </c>
      <c r="B24">
        <v>10</v>
      </c>
      <c r="C24">
        <v>10</v>
      </c>
      <c r="D24">
        <v>10</v>
      </c>
      <c r="E24">
        <v>10</v>
      </c>
    </row>
    <row r="25" spans="1:5" x14ac:dyDescent="0.25">
      <c r="A25">
        <v>23</v>
      </c>
      <c r="B25">
        <v>6</v>
      </c>
      <c r="C25">
        <v>6</v>
      </c>
      <c r="E25">
        <v>6</v>
      </c>
    </row>
    <row r="26" spans="1:5" x14ac:dyDescent="0.25">
      <c r="A26" t="s">
        <v>4</v>
      </c>
      <c r="B26" t="s">
        <v>8</v>
      </c>
      <c r="C26" t="s">
        <v>8</v>
      </c>
      <c r="D26" t="s">
        <v>8</v>
      </c>
      <c r="E26" t="s">
        <v>8</v>
      </c>
    </row>
    <row r="27" spans="1:5" x14ac:dyDescent="0.25">
      <c r="A27">
        <v>25</v>
      </c>
      <c r="B27">
        <v>10</v>
      </c>
      <c r="C27">
        <v>10</v>
      </c>
      <c r="D27">
        <v>10</v>
      </c>
      <c r="E27">
        <v>10</v>
      </c>
    </row>
    <row r="28" spans="1:5" x14ac:dyDescent="0.25">
      <c r="A28">
        <v>26</v>
      </c>
      <c r="B28">
        <v>10</v>
      </c>
      <c r="C28">
        <v>10</v>
      </c>
      <c r="D28">
        <v>10</v>
      </c>
      <c r="E28">
        <v>10</v>
      </c>
    </row>
    <row r="29" spans="1:5" x14ac:dyDescent="0.25">
      <c r="A29">
        <v>27</v>
      </c>
      <c r="B29">
        <v>10</v>
      </c>
      <c r="C29">
        <v>10</v>
      </c>
      <c r="D29">
        <v>10</v>
      </c>
      <c r="E29" t="s">
        <v>74</v>
      </c>
    </row>
    <row r="30" spans="1:5" x14ac:dyDescent="0.25">
      <c r="A30">
        <v>28</v>
      </c>
      <c r="B30">
        <v>10</v>
      </c>
      <c r="C30">
        <v>10</v>
      </c>
      <c r="D30">
        <v>10</v>
      </c>
      <c r="E30">
        <v>10</v>
      </c>
    </row>
    <row r="31" spans="1:5" x14ac:dyDescent="0.25">
      <c r="A31">
        <v>29</v>
      </c>
      <c r="B31">
        <v>10</v>
      </c>
      <c r="C31">
        <v>10</v>
      </c>
      <c r="D31">
        <v>10</v>
      </c>
      <c r="E31">
        <v>10</v>
      </c>
    </row>
    <row r="32" spans="1:5" x14ac:dyDescent="0.25">
      <c r="A32">
        <v>30</v>
      </c>
      <c r="B32">
        <v>6</v>
      </c>
      <c r="C32">
        <v>6</v>
      </c>
      <c r="D32">
        <v>6</v>
      </c>
      <c r="E32">
        <v>6</v>
      </c>
    </row>
    <row r="33" spans="1:5" x14ac:dyDescent="0.25">
      <c r="A33" t="s">
        <v>5</v>
      </c>
      <c r="B33" t="s">
        <v>8</v>
      </c>
      <c r="C33" t="s">
        <v>8</v>
      </c>
      <c r="D33" t="s">
        <v>8</v>
      </c>
      <c r="E33" t="s">
        <v>8</v>
      </c>
    </row>
    <row r="34" spans="1:5" x14ac:dyDescent="0.25">
      <c r="A34" t="s">
        <v>6</v>
      </c>
      <c r="B34">
        <f>SUM(B3:B33)</f>
        <v>240</v>
      </c>
      <c r="C34">
        <f>SUM(C3:C33)</f>
        <v>209</v>
      </c>
      <c r="D34">
        <f>SUM(D3:D33)</f>
        <v>224</v>
      </c>
      <c r="E34">
        <f>SUM(E3:E33)</f>
        <v>220</v>
      </c>
    </row>
  </sheetData>
  <conditionalFormatting sqref="H1:XFD1 A1:F1">
    <cfRule type="duplicateValues" dxfId="8" priority="1"/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42820-74DE-4F0D-8198-5CF5E5971FEC}">
  <sheetPr>
    <tabColor theme="6" tint="0.79998168889431442"/>
  </sheetPr>
  <dimension ref="A1:L34"/>
  <sheetViews>
    <sheetView rightToLeft="1" workbookViewId="0">
      <selection activeCell="B3" sqref="B3:B32"/>
    </sheetView>
  </sheetViews>
  <sheetFormatPr defaultRowHeight="13.8" x14ac:dyDescent="0.25"/>
  <cols>
    <col min="3" max="3" width="10.19921875" bestFit="1" customWidth="1"/>
    <col min="12" max="12" width="17.5" customWidth="1"/>
  </cols>
  <sheetData>
    <row r="1" spans="1:12" x14ac:dyDescent="0.25">
      <c r="A1" t="s">
        <v>0</v>
      </c>
      <c r="B1" t="s">
        <v>134</v>
      </c>
      <c r="C1" s="3" t="s">
        <v>137</v>
      </c>
    </row>
    <row r="2" spans="1:12" x14ac:dyDescent="0.25">
      <c r="B2" t="s">
        <v>135</v>
      </c>
      <c r="C2" t="s">
        <v>138</v>
      </c>
    </row>
    <row r="3" spans="1:12" x14ac:dyDescent="0.25">
      <c r="A3">
        <v>1</v>
      </c>
      <c r="B3" s="1">
        <v>12</v>
      </c>
      <c r="C3">
        <v>10</v>
      </c>
    </row>
    <row r="4" spans="1:12" x14ac:dyDescent="0.25">
      <c r="A4">
        <v>2</v>
      </c>
      <c r="B4" s="1">
        <v>5</v>
      </c>
      <c r="C4">
        <v>7</v>
      </c>
    </row>
    <row r="5" spans="1:12" x14ac:dyDescent="0.25">
      <c r="A5" t="s">
        <v>1</v>
      </c>
      <c r="B5" s="1" t="s">
        <v>8</v>
      </c>
      <c r="C5" t="s">
        <v>8</v>
      </c>
    </row>
    <row r="6" spans="1:12" x14ac:dyDescent="0.25">
      <c r="A6">
        <v>4</v>
      </c>
      <c r="B6" s="1">
        <v>12</v>
      </c>
      <c r="C6">
        <v>10</v>
      </c>
    </row>
    <row r="7" spans="1:12" x14ac:dyDescent="0.25">
      <c r="A7">
        <v>5</v>
      </c>
      <c r="B7" s="1">
        <v>12</v>
      </c>
      <c r="C7">
        <v>10</v>
      </c>
    </row>
    <row r="8" spans="1:12" x14ac:dyDescent="0.25">
      <c r="A8">
        <v>6</v>
      </c>
      <c r="B8" s="1">
        <v>12</v>
      </c>
      <c r="C8">
        <v>10</v>
      </c>
    </row>
    <row r="9" spans="1:12" x14ac:dyDescent="0.25">
      <c r="A9">
        <v>7</v>
      </c>
      <c r="B9" s="1">
        <v>12</v>
      </c>
      <c r="C9">
        <v>10</v>
      </c>
    </row>
    <row r="10" spans="1:12" x14ac:dyDescent="0.25">
      <c r="A10">
        <v>8</v>
      </c>
      <c r="B10" s="1">
        <v>12</v>
      </c>
      <c r="C10">
        <v>10</v>
      </c>
    </row>
    <row r="11" spans="1:12" x14ac:dyDescent="0.25">
      <c r="A11">
        <v>9</v>
      </c>
      <c r="B11" s="1">
        <v>7</v>
      </c>
    </row>
    <row r="12" spans="1:12" x14ac:dyDescent="0.25">
      <c r="A12" t="s">
        <v>2</v>
      </c>
      <c r="B12" s="1" t="s">
        <v>8</v>
      </c>
      <c r="C12" t="s">
        <v>8</v>
      </c>
    </row>
    <row r="13" spans="1:12" x14ac:dyDescent="0.25">
      <c r="A13">
        <v>11</v>
      </c>
      <c r="B13" s="1">
        <v>12</v>
      </c>
      <c r="C13">
        <v>10</v>
      </c>
    </row>
    <row r="14" spans="1:12" ht="41.4" x14ac:dyDescent="0.25">
      <c r="A14">
        <v>12</v>
      </c>
      <c r="B14" s="1">
        <v>12</v>
      </c>
      <c r="C14">
        <v>10</v>
      </c>
      <c r="L14" s="7" t="s">
        <v>136</v>
      </c>
    </row>
    <row r="15" spans="1:12" x14ac:dyDescent="0.25">
      <c r="A15">
        <v>13</v>
      </c>
      <c r="B15" s="1">
        <v>12</v>
      </c>
      <c r="C15" t="s">
        <v>41</v>
      </c>
    </row>
    <row r="16" spans="1:12" x14ac:dyDescent="0.25">
      <c r="A16">
        <v>14</v>
      </c>
      <c r="B16" s="1">
        <v>12</v>
      </c>
      <c r="C16" t="s">
        <v>74</v>
      </c>
    </row>
    <row r="17" spans="1:3" x14ac:dyDescent="0.25">
      <c r="A17">
        <v>15</v>
      </c>
      <c r="B17" s="1">
        <v>12</v>
      </c>
      <c r="C17">
        <v>10</v>
      </c>
    </row>
    <row r="18" spans="1:3" x14ac:dyDescent="0.25">
      <c r="A18">
        <v>16</v>
      </c>
      <c r="B18" s="1">
        <v>7</v>
      </c>
      <c r="C18" t="s">
        <v>41</v>
      </c>
    </row>
    <row r="19" spans="1:3" x14ac:dyDescent="0.25">
      <c r="A19" t="s">
        <v>3</v>
      </c>
      <c r="B19" s="1" t="s">
        <v>8</v>
      </c>
      <c r="C19" t="s">
        <v>8</v>
      </c>
    </row>
    <row r="20" spans="1:3" x14ac:dyDescent="0.25">
      <c r="A20">
        <v>18</v>
      </c>
      <c r="B20" s="1">
        <v>12</v>
      </c>
      <c r="C20">
        <v>10</v>
      </c>
    </row>
    <row r="21" spans="1:3" x14ac:dyDescent="0.25">
      <c r="A21">
        <v>19</v>
      </c>
      <c r="B21" s="1">
        <v>12</v>
      </c>
      <c r="C21">
        <v>10</v>
      </c>
    </row>
    <row r="22" spans="1:3" x14ac:dyDescent="0.25">
      <c r="A22">
        <v>20</v>
      </c>
      <c r="B22" s="1">
        <v>12</v>
      </c>
      <c r="C22">
        <v>10</v>
      </c>
    </row>
    <row r="23" spans="1:3" x14ac:dyDescent="0.25">
      <c r="A23">
        <v>21</v>
      </c>
      <c r="B23" s="1">
        <v>12</v>
      </c>
      <c r="C23">
        <v>10</v>
      </c>
    </row>
    <row r="24" spans="1:3" x14ac:dyDescent="0.25">
      <c r="A24">
        <v>22</v>
      </c>
      <c r="B24" s="1">
        <v>12</v>
      </c>
      <c r="C24">
        <v>10</v>
      </c>
    </row>
    <row r="25" spans="1:3" x14ac:dyDescent="0.25">
      <c r="A25">
        <v>23</v>
      </c>
      <c r="B25" s="1"/>
    </row>
    <row r="26" spans="1:3" x14ac:dyDescent="0.25">
      <c r="A26" t="s">
        <v>4</v>
      </c>
      <c r="B26" s="1" t="s">
        <v>8</v>
      </c>
      <c r="C26" t="s">
        <v>8</v>
      </c>
    </row>
    <row r="27" spans="1:3" x14ac:dyDescent="0.25">
      <c r="A27">
        <v>25</v>
      </c>
      <c r="B27" s="1"/>
    </row>
    <row r="28" spans="1:3" x14ac:dyDescent="0.25">
      <c r="A28">
        <v>26</v>
      </c>
      <c r="B28" s="1"/>
    </row>
    <row r="29" spans="1:3" x14ac:dyDescent="0.25">
      <c r="A29">
        <v>27</v>
      </c>
      <c r="B29" s="1"/>
      <c r="C29">
        <v>10</v>
      </c>
    </row>
    <row r="30" spans="1:3" x14ac:dyDescent="0.25">
      <c r="A30">
        <v>28</v>
      </c>
      <c r="B30">
        <v>10</v>
      </c>
      <c r="C30">
        <v>10</v>
      </c>
    </row>
    <row r="31" spans="1:3" x14ac:dyDescent="0.25">
      <c r="A31">
        <v>29</v>
      </c>
      <c r="B31">
        <v>10</v>
      </c>
    </row>
    <row r="32" spans="1:3" x14ac:dyDescent="0.25">
      <c r="A32">
        <v>30</v>
      </c>
      <c r="B32">
        <v>7</v>
      </c>
    </row>
    <row r="33" spans="1:3" x14ac:dyDescent="0.25">
      <c r="A33" t="s">
        <v>5</v>
      </c>
      <c r="B33" t="s">
        <v>8</v>
      </c>
      <c r="C33" t="s">
        <v>8</v>
      </c>
    </row>
    <row r="34" spans="1:3" x14ac:dyDescent="0.25">
      <c r="A34" t="s">
        <v>6</v>
      </c>
      <c r="B34">
        <f>SUM(B30:B33)</f>
        <v>27</v>
      </c>
      <c r="C34">
        <f>SUM(C3:C33)</f>
        <v>167</v>
      </c>
    </row>
  </sheetData>
  <pageMargins left="0.7" right="0.7" top="0.75" bottom="0.75" header="0.3" footer="0.3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60F63-0279-4B24-B8DC-F8554BE08DD2}">
  <sheetPr>
    <tabColor rgb="FFFFC000"/>
  </sheetPr>
  <dimension ref="A1:J36"/>
  <sheetViews>
    <sheetView rightToLeft="1" topLeftCell="A19" workbookViewId="0">
      <selection activeCell="F1" sqref="F1"/>
    </sheetView>
  </sheetViews>
  <sheetFormatPr defaultRowHeight="13.8" x14ac:dyDescent="0.25"/>
  <cols>
    <col min="2" max="2" width="10.19921875" bestFit="1" customWidth="1"/>
  </cols>
  <sheetData>
    <row r="1" spans="1:10" x14ac:dyDescent="0.25">
      <c r="A1" t="s">
        <v>0</v>
      </c>
      <c r="B1" s="10" t="s">
        <v>139</v>
      </c>
      <c r="C1" t="s">
        <v>21</v>
      </c>
      <c r="D1" t="s">
        <v>143</v>
      </c>
      <c r="E1" s="10" t="s">
        <v>137</v>
      </c>
      <c r="F1" t="s">
        <v>145</v>
      </c>
      <c r="G1" s="10" t="s">
        <v>149</v>
      </c>
      <c r="H1" s="10" t="s">
        <v>222</v>
      </c>
      <c r="I1" t="s">
        <v>250</v>
      </c>
      <c r="J1" t="s">
        <v>253</v>
      </c>
    </row>
    <row r="2" spans="1:10" x14ac:dyDescent="0.25">
      <c r="B2" t="s">
        <v>140</v>
      </c>
      <c r="C2" t="s">
        <v>22</v>
      </c>
      <c r="D2" t="s">
        <v>60</v>
      </c>
      <c r="E2" t="s">
        <v>138</v>
      </c>
      <c r="F2" t="s">
        <v>146</v>
      </c>
      <c r="G2" t="s">
        <v>150</v>
      </c>
      <c r="H2" t="s">
        <v>68</v>
      </c>
      <c r="I2" t="s">
        <v>251</v>
      </c>
      <c r="J2" t="s">
        <v>254</v>
      </c>
    </row>
    <row r="3" spans="1:10" x14ac:dyDescent="0.25">
      <c r="A3">
        <v>1</v>
      </c>
      <c r="B3">
        <v>12</v>
      </c>
      <c r="C3">
        <v>10</v>
      </c>
      <c r="E3">
        <v>10</v>
      </c>
      <c r="G3">
        <v>10</v>
      </c>
      <c r="H3">
        <v>10</v>
      </c>
    </row>
    <row r="4" spans="1:10" x14ac:dyDescent="0.25">
      <c r="A4">
        <v>2</v>
      </c>
      <c r="B4">
        <v>7</v>
      </c>
      <c r="C4">
        <v>7</v>
      </c>
      <c r="E4">
        <v>7</v>
      </c>
      <c r="G4">
        <v>7</v>
      </c>
      <c r="H4">
        <v>7</v>
      </c>
    </row>
    <row r="5" spans="1:10" x14ac:dyDescent="0.25">
      <c r="A5" t="s">
        <v>1</v>
      </c>
      <c r="B5" t="s">
        <v>8</v>
      </c>
      <c r="C5" t="s">
        <v>8</v>
      </c>
      <c r="D5" t="s">
        <v>8</v>
      </c>
      <c r="E5" t="s">
        <v>8</v>
      </c>
      <c r="G5" t="s">
        <v>8</v>
      </c>
      <c r="H5" t="s">
        <v>8</v>
      </c>
    </row>
    <row r="6" spans="1:10" x14ac:dyDescent="0.25">
      <c r="A6">
        <v>4</v>
      </c>
      <c r="B6">
        <v>12</v>
      </c>
      <c r="C6">
        <v>10</v>
      </c>
      <c r="E6">
        <v>10</v>
      </c>
      <c r="G6">
        <v>10</v>
      </c>
      <c r="H6">
        <v>10</v>
      </c>
    </row>
    <row r="7" spans="1:10" x14ac:dyDescent="0.25">
      <c r="A7">
        <v>5</v>
      </c>
      <c r="B7">
        <v>12</v>
      </c>
      <c r="C7">
        <v>10</v>
      </c>
      <c r="E7">
        <v>10</v>
      </c>
      <c r="G7">
        <v>10</v>
      </c>
      <c r="H7">
        <v>10</v>
      </c>
    </row>
    <row r="8" spans="1:10" x14ac:dyDescent="0.25">
      <c r="A8">
        <v>6</v>
      </c>
      <c r="B8">
        <v>12</v>
      </c>
      <c r="C8">
        <v>10</v>
      </c>
      <c r="E8">
        <v>10</v>
      </c>
      <c r="G8">
        <v>10</v>
      </c>
      <c r="H8">
        <v>10</v>
      </c>
      <c r="I8">
        <v>10</v>
      </c>
      <c r="J8">
        <v>10</v>
      </c>
    </row>
    <row r="9" spans="1:10" x14ac:dyDescent="0.25">
      <c r="A9">
        <v>7</v>
      </c>
      <c r="B9">
        <v>12</v>
      </c>
      <c r="C9">
        <v>10</v>
      </c>
      <c r="E9">
        <v>10</v>
      </c>
      <c r="G9">
        <v>10</v>
      </c>
      <c r="H9">
        <v>10</v>
      </c>
      <c r="I9">
        <v>10</v>
      </c>
      <c r="J9">
        <v>10</v>
      </c>
    </row>
    <row r="10" spans="1:10" x14ac:dyDescent="0.25">
      <c r="A10">
        <v>8</v>
      </c>
      <c r="B10">
        <v>12</v>
      </c>
      <c r="C10">
        <v>10</v>
      </c>
      <c r="E10">
        <v>10</v>
      </c>
      <c r="G10">
        <v>10</v>
      </c>
      <c r="H10">
        <v>10</v>
      </c>
      <c r="I10">
        <v>10</v>
      </c>
      <c r="J10">
        <v>10</v>
      </c>
    </row>
    <row r="11" spans="1:10" x14ac:dyDescent="0.25">
      <c r="A11">
        <v>9</v>
      </c>
      <c r="B11">
        <v>7</v>
      </c>
      <c r="G11">
        <v>7</v>
      </c>
      <c r="H11">
        <v>7</v>
      </c>
    </row>
    <row r="12" spans="1:10" x14ac:dyDescent="0.25">
      <c r="A12" t="s">
        <v>2</v>
      </c>
      <c r="B12" t="s">
        <v>8</v>
      </c>
      <c r="C12" t="s">
        <v>8</v>
      </c>
      <c r="D12" t="s">
        <v>8</v>
      </c>
      <c r="E12" t="s">
        <v>8</v>
      </c>
      <c r="G12" t="s">
        <v>8</v>
      </c>
      <c r="H12" t="s">
        <v>8</v>
      </c>
    </row>
    <row r="13" spans="1:10" x14ac:dyDescent="0.25">
      <c r="A13">
        <v>11</v>
      </c>
      <c r="B13">
        <v>12</v>
      </c>
      <c r="C13">
        <v>10</v>
      </c>
      <c r="E13">
        <v>10</v>
      </c>
      <c r="G13">
        <v>10</v>
      </c>
      <c r="H13">
        <v>10</v>
      </c>
    </row>
    <row r="14" spans="1:10" x14ac:dyDescent="0.25">
      <c r="A14">
        <v>12</v>
      </c>
      <c r="B14">
        <v>9</v>
      </c>
      <c r="E14">
        <v>10</v>
      </c>
      <c r="G14">
        <v>10</v>
      </c>
      <c r="H14">
        <v>10</v>
      </c>
    </row>
    <row r="15" spans="1:10" x14ac:dyDescent="0.25">
      <c r="A15">
        <v>13</v>
      </c>
      <c r="B15">
        <v>11</v>
      </c>
      <c r="E15" t="s">
        <v>41</v>
      </c>
      <c r="G15">
        <v>10</v>
      </c>
      <c r="H15">
        <v>10</v>
      </c>
    </row>
    <row r="16" spans="1:10" x14ac:dyDescent="0.25">
      <c r="A16">
        <v>14</v>
      </c>
      <c r="B16">
        <v>12</v>
      </c>
      <c r="E16" t="s">
        <v>74</v>
      </c>
      <c r="G16">
        <v>10</v>
      </c>
      <c r="H16">
        <v>10</v>
      </c>
    </row>
    <row r="17" spans="1:8" x14ac:dyDescent="0.25">
      <c r="A17">
        <v>15</v>
      </c>
      <c r="B17">
        <v>12</v>
      </c>
      <c r="C17">
        <v>10</v>
      </c>
      <c r="D17">
        <v>10</v>
      </c>
      <c r="E17">
        <v>10</v>
      </c>
      <c r="F17">
        <v>10</v>
      </c>
      <c r="G17">
        <v>10</v>
      </c>
      <c r="H17">
        <v>10</v>
      </c>
    </row>
    <row r="18" spans="1:8" x14ac:dyDescent="0.25">
      <c r="A18">
        <v>16</v>
      </c>
      <c r="B18">
        <v>6</v>
      </c>
      <c r="E18" t="s">
        <v>41</v>
      </c>
      <c r="G18">
        <v>7</v>
      </c>
      <c r="H18">
        <v>7</v>
      </c>
    </row>
    <row r="19" spans="1:8" x14ac:dyDescent="0.25">
      <c r="A19" t="s">
        <v>3</v>
      </c>
      <c r="B19" t="s">
        <v>8</v>
      </c>
      <c r="C19" t="s">
        <v>8</v>
      </c>
      <c r="D19" t="s">
        <v>8</v>
      </c>
      <c r="E19" t="s">
        <v>8</v>
      </c>
      <c r="F19" t="s">
        <v>8</v>
      </c>
      <c r="G19" t="s">
        <v>8</v>
      </c>
      <c r="H19" t="s">
        <v>8</v>
      </c>
    </row>
    <row r="20" spans="1:8" x14ac:dyDescent="0.25">
      <c r="A20">
        <v>18</v>
      </c>
      <c r="B20">
        <v>12</v>
      </c>
      <c r="C20">
        <v>10</v>
      </c>
      <c r="D20">
        <v>10</v>
      </c>
      <c r="E20">
        <v>10</v>
      </c>
      <c r="F20">
        <v>10</v>
      </c>
      <c r="G20">
        <v>10</v>
      </c>
      <c r="H20">
        <v>10</v>
      </c>
    </row>
    <row r="21" spans="1:8" x14ac:dyDescent="0.25">
      <c r="A21">
        <v>19</v>
      </c>
      <c r="B21">
        <v>12</v>
      </c>
      <c r="C21">
        <v>10</v>
      </c>
      <c r="D21">
        <v>10</v>
      </c>
      <c r="E21">
        <v>10</v>
      </c>
      <c r="F21">
        <v>10</v>
      </c>
      <c r="G21">
        <v>10</v>
      </c>
      <c r="H21">
        <v>10</v>
      </c>
    </row>
    <row r="22" spans="1:8" x14ac:dyDescent="0.25">
      <c r="A22">
        <v>20</v>
      </c>
      <c r="B22">
        <v>12</v>
      </c>
      <c r="C22">
        <v>10</v>
      </c>
      <c r="D22">
        <v>10</v>
      </c>
      <c r="E22">
        <v>10</v>
      </c>
      <c r="F22">
        <v>10</v>
      </c>
      <c r="G22">
        <v>10</v>
      </c>
      <c r="H22">
        <v>10</v>
      </c>
    </row>
    <row r="23" spans="1:8" x14ac:dyDescent="0.25">
      <c r="A23">
        <v>21</v>
      </c>
      <c r="B23">
        <v>12</v>
      </c>
      <c r="C23">
        <v>10</v>
      </c>
      <c r="D23">
        <v>10</v>
      </c>
      <c r="E23">
        <v>10</v>
      </c>
      <c r="F23">
        <v>10</v>
      </c>
      <c r="G23">
        <v>10</v>
      </c>
      <c r="H23">
        <v>10</v>
      </c>
    </row>
    <row r="24" spans="1:8" x14ac:dyDescent="0.25">
      <c r="A24">
        <v>22</v>
      </c>
      <c r="B24">
        <v>12</v>
      </c>
      <c r="C24">
        <v>10</v>
      </c>
      <c r="D24">
        <v>10</v>
      </c>
      <c r="E24">
        <v>10</v>
      </c>
      <c r="F24">
        <v>10</v>
      </c>
      <c r="G24">
        <v>10</v>
      </c>
      <c r="H24">
        <v>10</v>
      </c>
    </row>
    <row r="25" spans="1:8" x14ac:dyDescent="0.25">
      <c r="A25">
        <v>23</v>
      </c>
      <c r="B25">
        <v>7</v>
      </c>
      <c r="G25">
        <v>7</v>
      </c>
      <c r="H25">
        <v>7</v>
      </c>
    </row>
    <row r="26" spans="1:8" x14ac:dyDescent="0.25">
      <c r="A26" t="s">
        <v>4</v>
      </c>
      <c r="B26" t="s">
        <v>8</v>
      </c>
      <c r="C26" t="s">
        <v>8</v>
      </c>
      <c r="D26" t="s">
        <v>8</v>
      </c>
      <c r="E26" t="s">
        <v>8</v>
      </c>
      <c r="F26" t="s">
        <v>8</v>
      </c>
      <c r="G26" t="s">
        <v>8</v>
      </c>
      <c r="H26" t="s">
        <v>8</v>
      </c>
    </row>
    <row r="27" spans="1:8" x14ac:dyDescent="0.25">
      <c r="A27">
        <v>25</v>
      </c>
      <c r="B27">
        <v>12</v>
      </c>
      <c r="C27" s="1" t="s">
        <v>141</v>
      </c>
      <c r="E27" s="1" t="s">
        <v>144</v>
      </c>
      <c r="G27">
        <v>10</v>
      </c>
      <c r="H27">
        <v>10</v>
      </c>
    </row>
    <row r="28" spans="1:8" x14ac:dyDescent="0.25">
      <c r="A28">
        <v>26</v>
      </c>
      <c r="B28">
        <v>12</v>
      </c>
      <c r="C28" s="1" t="s">
        <v>142</v>
      </c>
      <c r="E28" s="1"/>
      <c r="G28">
        <v>10</v>
      </c>
      <c r="H28">
        <v>10</v>
      </c>
    </row>
    <row r="29" spans="1:8" x14ac:dyDescent="0.25">
      <c r="A29">
        <v>27</v>
      </c>
      <c r="B29">
        <v>12</v>
      </c>
      <c r="C29" s="1"/>
      <c r="E29" s="1"/>
      <c r="G29">
        <v>10</v>
      </c>
      <c r="H29">
        <v>10</v>
      </c>
    </row>
    <row r="30" spans="1:8" x14ac:dyDescent="0.25">
      <c r="A30">
        <v>28</v>
      </c>
      <c r="B30">
        <v>12</v>
      </c>
      <c r="C30" s="1"/>
      <c r="E30" s="1"/>
      <c r="G30">
        <v>10</v>
      </c>
      <c r="H30">
        <v>10</v>
      </c>
    </row>
    <row r="31" spans="1:8" x14ac:dyDescent="0.25">
      <c r="A31">
        <v>29</v>
      </c>
      <c r="B31">
        <v>12</v>
      </c>
      <c r="C31" s="1"/>
      <c r="E31" s="1"/>
      <c r="G31">
        <v>10</v>
      </c>
      <c r="H31">
        <v>10</v>
      </c>
    </row>
    <row r="32" spans="1:8" x14ac:dyDescent="0.25">
      <c r="A32">
        <v>30</v>
      </c>
      <c r="B32">
        <v>7</v>
      </c>
      <c r="C32" s="1"/>
      <c r="E32" s="1"/>
      <c r="G32">
        <v>7</v>
      </c>
      <c r="H32" t="s">
        <v>41</v>
      </c>
    </row>
    <row r="33" spans="1:10" x14ac:dyDescent="0.25">
      <c r="A33" t="s">
        <v>5</v>
      </c>
      <c r="B33" t="s">
        <v>8</v>
      </c>
      <c r="C33" s="1" t="s">
        <v>8</v>
      </c>
      <c r="D33" t="s">
        <v>8</v>
      </c>
      <c r="E33" s="1" t="s">
        <v>8</v>
      </c>
      <c r="F33" t="s">
        <v>8</v>
      </c>
      <c r="G33" t="s">
        <v>8</v>
      </c>
      <c r="H33" t="s">
        <v>8</v>
      </c>
    </row>
    <row r="34" spans="1:10" x14ac:dyDescent="0.25">
      <c r="A34" t="s">
        <v>6</v>
      </c>
      <c r="B34">
        <f t="shared" ref="B34:J34" si="0">SUM(B3:B33)</f>
        <v>282</v>
      </c>
      <c r="C34">
        <f t="shared" si="0"/>
        <v>137</v>
      </c>
      <c r="D34">
        <f t="shared" si="0"/>
        <v>60</v>
      </c>
      <c r="E34">
        <f t="shared" si="0"/>
        <v>147</v>
      </c>
      <c r="F34">
        <f t="shared" si="0"/>
        <v>60</v>
      </c>
      <c r="G34">
        <f t="shared" si="0"/>
        <v>245</v>
      </c>
      <c r="H34">
        <f t="shared" si="0"/>
        <v>238</v>
      </c>
      <c r="I34">
        <f t="shared" si="0"/>
        <v>30</v>
      </c>
      <c r="J34">
        <f t="shared" si="0"/>
        <v>30</v>
      </c>
    </row>
    <row r="36" spans="1:10" x14ac:dyDescent="0.25">
      <c r="A36" t="s">
        <v>238</v>
      </c>
      <c r="B36">
        <f>282-252</f>
        <v>30</v>
      </c>
    </row>
  </sheetData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207D4-0502-4B8D-81F0-0716D4544469}">
  <sheetPr>
    <tabColor theme="6" tint="0.79998168889431442"/>
  </sheetPr>
  <dimension ref="A1:N34"/>
  <sheetViews>
    <sheetView rightToLeft="1" workbookViewId="0">
      <selection activeCell="N1" sqref="N1"/>
    </sheetView>
  </sheetViews>
  <sheetFormatPr defaultRowHeight="13.8" x14ac:dyDescent="0.25"/>
  <cols>
    <col min="3" max="3" width="10.19921875" bestFit="1" customWidth="1"/>
    <col min="5" max="5" width="10.19921875" bestFit="1" customWidth="1"/>
    <col min="11" max="11" width="10.19921875" bestFit="1" customWidth="1"/>
    <col min="13" max="13" width="10.19921875" bestFit="1" customWidth="1"/>
  </cols>
  <sheetData>
    <row r="1" spans="1:14" x14ac:dyDescent="0.25">
      <c r="A1" t="s">
        <v>0</v>
      </c>
      <c r="B1" t="s">
        <v>151</v>
      </c>
      <c r="C1" t="s">
        <v>153</v>
      </c>
      <c r="D1" t="s">
        <v>155</v>
      </c>
      <c r="E1" s="17" t="s">
        <v>156</v>
      </c>
      <c r="F1" t="s">
        <v>158</v>
      </c>
      <c r="G1" t="s">
        <v>160</v>
      </c>
      <c r="H1" t="s">
        <v>162</v>
      </c>
      <c r="I1" t="s">
        <v>164</v>
      </c>
      <c r="J1" t="s">
        <v>165</v>
      </c>
      <c r="K1" t="s">
        <v>167</v>
      </c>
      <c r="L1" t="s">
        <v>168</v>
      </c>
      <c r="M1" t="s">
        <v>169</v>
      </c>
      <c r="N1" t="s">
        <v>171</v>
      </c>
    </row>
    <row r="2" spans="1:14" x14ac:dyDescent="0.25">
      <c r="B2" t="s">
        <v>152</v>
      </c>
      <c r="C2" t="s">
        <v>154</v>
      </c>
      <c r="D2" t="s">
        <v>10</v>
      </c>
      <c r="E2" t="s">
        <v>157</v>
      </c>
      <c r="F2" t="s">
        <v>159</v>
      </c>
      <c r="G2" t="s">
        <v>161</v>
      </c>
      <c r="H2" t="s">
        <v>163</v>
      </c>
      <c r="I2" t="s">
        <v>50</v>
      </c>
      <c r="J2" t="s">
        <v>166</v>
      </c>
      <c r="K2" t="s">
        <v>154</v>
      </c>
      <c r="L2" t="s">
        <v>76</v>
      </c>
      <c r="M2" t="s">
        <v>170</v>
      </c>
      <c r="N2" t="s">
        <v>31</v>
      </c>
    </row>
    <row r="3" spans="1:14" x14ac:dyDescent="0.25">
      <c r="A3">
        <v>1</v>
      </c>
      <c r="B3">
        <v>11</v>
      </c>
      <c r="C3">
        <v>11</v>
      </c>
      <c r="D3">
        <v>11</v>
      </c>
      <c r="E3">
        <v>11.5</v>
      </c>
      <c r="F3">
        <v>11</v>
      </c>
      <c r="G3">
        <v>10.5</v>
      </c>
      <c r="H3">
        <v>11.5</v>
      </c>
      <c r="I3">
        <v>11.5</v>
      </c>
      <c r="J3">
        <v>11.5</v>
      </c>
      <c r="K3" t="s">
        <v>41</v>
      </c>
      <c r="L3">
        <v>11</v>
      </c>
      <c r="M3">
        <v>11</v>
      </c>
      <c r="N3">
        <v>10.5</v>
      </c>
    </row>
    <row r="4" spans="1:14" x14ac:dyDescent="0.25">
      <c r="A4">
        <v>2</v>
      </c>
      <c r="C4" t="s">
        <v>41</v>
      </c>
      <c r="D4" t="s">
        <v>41</v>
      </c>
      <c r="F4" t="s">
        <v>41</v>
      </c>
      <c r="G4" t="s">
        <v>41</v>
      </c>
      <c r="H4" t="s">
        <v>41</v>
      </c>
      <c r="K4" t="s">
        <v>41</v>
      </c>
      <c r="L4" t="s">
        <v>41</v>
      </c>
      <c r="M4" t="s">
        <v>41</v>
      </c>
      <c r="N4" t="s">
        <v>41</v>
      </c>
    </row>
    <row r="5" spans="1:14" x14ac:dyDescent="0.25">
      <c r="A5" t="s">
        <v>1</v>
      </c>
      <c r="B5" t="s">
        <v>8</v>
      </c>
      <c r="C5" t="s">
        <v>8</v>
      </c>
      <c r="D5" t="s">
        <v>8</v>
      </c>
      <c r="E5" t="s">
        <v>8</v>
      </c>
      <c r="F5" t="s">
        <v>8</v>
      </c>
      <c r="G5" t="s">
        <v>8</v>
      </c>
      <c r="H5" t="s">
        <v>8</v>
      </c>
      <c r="I5" t="s">
        <v>8</v>
      </c>
      <c r="J5" t="s">
        <v>8</v>
      </c>
      <c r="K5" t="s">
        <v>8</v>
      </c>
      <c r="L5" t="s">
        <v>8</v>
      </c>
      <c r="M5" t="s">
        <v>8</v>
      </c>
      <c r="N5" t="s">
        <v>8</v>
      </c>
    </row>
    <row r="6" spans="1:14" x14ac:dyDescent="0.25">
      <c r="A6">
        <v>4</v>
      </c>
      <c r="B6">
        <v>11</v>
      </c>
      <c r="C6">
        <v>11</v>
      </c>
      <c r="D6">
        <v>11</v>
      </c>
      <c r="E6">
        <v>11.5</v>
      </c>
      <c r="F6">
        <v>11</v>
      </c>
      <c r="G6" t="s">
        <v>74</v>
      </c>
      <c r="H6">
        <v>11.5</v>
      </c>
      <c r="I6">
        <v>11.5</v>
      </c>
      <c r="J6">
        <v>11.5</v>
      </c>
      <c r="K6">
        <v>11.5</v>
      </c>
      <c r="L6">
        <v>11</v>
      </c>
      <c r="M6">
        <v>11</v>
      </c>
      <c r="N6">
        <v>10.5</v>
      </c>
    </row>
    <row r="7" spans="1:14" x14ac:dyDescent="0.25">
      <c r="A7">
        <v>5</v>
      </c>
      <c r="B7">
        <v>11</v>
      </c>
      <c r="C7">
        <v>11</v>
      </c>
      <c r="D7">
        <v>11</v>
      </c>
      <c r="E7">
        <v>11.5</v>
      </c>
      <c r="F7">
        <v>11</v>
      </c>
      <c r="G7">
        <v>10.5</v>
      </c>
      <c r="H7">
        <v>11.5</v>
      </c>
      <c r="I7">
        <v>11.5</v>
      </c>
      <c r="J7">
        <v>11.5</v>
      </c>
      <c r="K7">
        <v>11.5</v>
      </c>
      <c r="L7">
        <v>11</v>
      </c>
      <c r="M7">
        <v>11</v>
      </c>
      <c r="N7">
        <v>10.5</v>
      </c>
    </row>
    <row r="8" spans="1:14" x14ac:dyDescent="0.25">
      <c r="A8">
        <v>6</v>
      </c>
      <c r="B8">
        <v>11</v>
      </c>
      <c r="C8">
        <v>11</v>
      </c>
      <c r="D8">
        <v>11</v>
      </c>
      <c r="E8">
        <v>11.5</v>
      </c>
      <c r="F8">
        <v>11</v>
      </c>
      <c r="G8">
        <v>10.5</v>
      </c>
      <c r="H8">
        <v>11.5</v>
      </c>
      <c r="I8">
        <v>11.5</v>
      </c>
      <c r="J8">
        <v>11.5</v>
      </c>
      <c r="K8">
        <v>11.5</v>
      </c>
      <c r="L8">
        <v>11</v>
      </c>
      <c r="M8">
        <v>11</v>
      </c>
      <c r="N8" t="s">
        <v>41</v>
      </c>
    </row>
    <row r="9" spans="1:14" x14ac:dyDescent="0.25">
      <c r="A9">
        <v>7</v>
      </c>
      <c r="B9">
        <v>11</v>
      </c>
      <c r="C9">
        <v>11</v>
      </c>
      <c r="D9">
        <v>11</v>
      </c>
      <c r="E9">
        <v>11.5</v>
      </c>
      <c r="F9">
        <v>11</v>
      </c>
      <c r="G9">
        <v>10.5</v>
      </c>
      <c r="H9">
        <v>11.5</v>
      </c>
      <c r="I9">
        <v>11.5</v>
      </c>
      <c r="J9">
        <v>11.5</v>
      </c>
      <c r="K9">
        <v>11.5</v>
      </c>
      <c r="L9">
        <v>11</v>
      </c>
      <c r="M9">
        <v>11</v>
      </c>
      <c r="N9">
        <v>10.5</v>
      </c>
    </row>
    <row r="10" spans="1:14" x14ac:dyDescent="0.25">
      <c r="A10">
        <v>8</v>
      </c>
      <c r="B10">
        <v>11</v>
      </c>
      <c r="C10">
        <v>11</v>
      </c>
      <c r="D10">
        <v>11</v>
      </c>
      <c r="E10">
        <v>11.5</v>
      </c>
      <c r="F10">
        <v>11</v>
      </c>
      <c r="G10">
        <v>10.5</v>
      </c>
      <c r="H10" t="s">
        <v>74</v>
      </c>
      <c r="I10">
        <v>11.5</v>
      </c>
      <c r="J10">
        <v>11.5</v>
      </c>
      <c r="K10">
        <v>11.5</v>
      </c>
      <c r="L10">
        <v>11</v>
      </c>
      <c r="M10">
        <v>11</v>
      </c>
      <c r="N10">
        <v>10.5</v>
      </c>
    </row>
    <row r="11" spans="1:14" x14ac:dyDescent="0.25">
      <c r="A11">
        <v>9</v>
      </c>
      <c r="L11" t="s">
        <v>41</v>
      </c>
      <c r="N11" t="s">
        <v>41</v>
      </c>
    </row>
    <row r="12" spans="1:14" x14ac:dyDescent="0.25">
      <c r="A12" t="s">
        <v>2</v>
      </c>
      <c r="B12" t="s">
        <v>8</v>
      </c>
      <c r="C12" t="s">
        <v>8</v>
      </c>
      <c r="D12" t="s">
        <v>8</v>
      </c>
      <c r="E12" t="s">
        <v>8</v>
      </c>
      <c r="F12" t="s">
        <v>8</v>
      </c>
      <c r="G12" t="s">
        <v>8</v>
      </c>
      <c r="H12" t="s">
        <v>8</v>
      </c>
      <c r="I12" t="s">
        <v>8</v>
      </c>
      <c r="J12" t="s">
        <v>8</v>
      </c>
      <c r="K12" t="s">
        <v>8</v>
      </c>
      <c r="L12" t="s">
        <v>8</v>
      </c>
      <c r="M12" t="s">
        <v>8</v>
      </c>
      <c r="N12" t="s">
        <v>8</v>
      </c>
    </row>
    <row r="13" spans="1:14" x14ac:dyDescent="0.25">
      <c r="A13">
        <v>11</v>
      </c>
      <c r="B13">
        <v>11</v>
      </c>
      <c r="C13">
        <v>11</v>
      </c>
      <c r="D13">
        <v>11</v>
      </c>
      <c r="F13">
        <v>11</v>
      </c>
      <c r="G13">
        <v>10.5</v>
      </c>
      <c r="H13">
        <v>11.5</v>
      </c>
      <c r="I13">
        <v>11.5</v>
      </c>
      <c r="K13">
        <v>11.5</v>
      </c>
      <c r="L13">
        <v>11</v>
      </c>
      <c r="M13" t="s">
        <v>41</v>
      </c>
      <c r="N13">
        <v>10.5</v>
      </c>
    </row>
    <row r="14" spans="1:14" x14ac:dyDescent="0.25">
      <c r="A14">
        <v>12</v>
      </c>
      <c r="C14">
        <v>11</v>
      </c>
      <c r="D14">
        <v>11</v>
      </c>
      <c r="E14" t="s">
        <v>73</v>
      </c>
      <c r="F14">
        <v>11</v>
      </c>
      <c r="G14">
        <v>11</v>
      </c>
      <c r="H14">
        <v>11.5</v>
      </c>
      <c r="I14">
        <v>11.5</v>
      </c>
      <c r="J14" t="s">
        <v>73</v>
      </c>
      <c r="K14">
        <v>11.5</v>
      </c>
      <c r="L14">
        <v>11</v>
      </c>
      <c r="M14">
        <v>5.5</v>
      </c>
      <c r="N14" t="s">
        <v>41</v>
      </c>
    </row>
    <row r="15" spans="1:14" x14ac:dyDescent="0.25">
      <c r="A15">
        <v>13</v>
      </c>
      <c r="C15">
        <v>11</v>
      </c>
      <c r="D15">
        <v>11</v>
      </c>
      <c r="E15" t="s">
        <v>73</v>
      </c>
      <c r="F15">
        <v>11</v>
      </c>
      <c r="G15">
        <v>11</v>
      </c>
      <c r="H15">
        <v>11.5</v>
      </c>
      <c r="I15">
        <v>11.5</v>
      </c>
      <c r="J15" t="s">
        <v>73</v>
      </c>
      <c r="K15">
        <v>11.5</v>
      </c>
      <c r="L15">
        <v>11</v>
      </c>
      <c r="M15" t="s">
        <v>74</v>
      </c>
      <c r="N15">
        <v>11</v>
      </c>
    </row>
    <row r="16" spans="1:14" x14ac:dyDescent="0.25">
      <c r="A16">
        <v>14</v>
      </c>
      <c r="C16">
        <v>11</v>
      </c>
      <c r="D16">
        <v>11</v>
      </c>
      <c r="E16" t="s">
        <v>73</v>
      </c>
      <c r="F16">
        <v>11</v>
      </c>
      <c r="G16">
        <v>11</v>
      </c>
      <c r="H16">
        <v>11.5</v>
      </c>
      <c r="I16">
        <v>11.5</v>
      </c>
      <c r="J16" t="s">
        <v>73</v>
      </c>
      <c r="K16">
        <v>11</v>
      </c>
      <c r="M16">
        <v>11</v>
      </c>
      <c r="N16">
        <v>11</v>
      </c>
    </row>
    <row r="17" spans="1:14" x14ac:dyDescent="0.25">
      <c r="A17">
        <v>15</v>
      </c>
      <c r="C17">
        <v>11</v>
      </c>
      <c r="D17">
        <v>11</v>
      </c>
      <c r="E17" t="s">
        <v>73</v>
      </c>
      <c r="F17" t="s">
        <v>74</v>
      </c>
      <c r="G17">
        <v>11</v>
      </c>
      <c r="H17">
        <v>11</v>
      </c>
      <c r="I17">
        <v>11</v>
      </c>
      <c r="J17" t="s">
        <v>73</v>
      </c>
      <c r="K17">
        <v>11</v>
      </c>
      <c r="L17">
        <v>11</v>
      </c>
      <c r="M17">
        <v>11</v>
      </c>
      <c r="N17">
        <v>11</v>
      </c>
    </row>
    <row r="18" spans="1:14" x14ac:dyDescent="0.25">
      <c r="A18">
        <v>16</v>
      </c>
      <c r="E18" t="s">
        <v>73</v>
      </c>
      <c r="J18" t="s">
        <v>73</v>
      </c>
      <c r="M18" t="s">
        <v>41</v>
      </c>
      <c r="N18" t="s">
        <v>41</v>
      </c>
    </row>
    <row r="19" spans="1:14" x14ac:dyDescent="0.25">
      <c r="A19" t="s">
        <v>3</v>
      </c>
      <c r="B19" t="s">
        <v>8</v>
      </c>
      <c r="C19" t="s">
        <v>8</v>
      </c>
      <c r="D19" t="s">
        <v>8</v>
      </c>
      <c r="E19" t="s">
        <v>8</v>
      </c>
      <c r="F19" t="s">
        <v>8</v>
      </c>
      <c r="G19" t="s">
        <v>8</v>
      </c>
      <c r="H19" t="s">
        <v>8</v>
      </c>
      <c r="I19" t="s">
        <v>8</v>
      </c>
      <c r="J19" t="s">
        <v>8</v>
      </c>
      <c r="K19" t="s">
        <v>8</v>
      </c>
      <c r="L19" t="s">
        <v>8</v>
      </c>
      <c r="M19" t="s">
        <v>8</v>
      </c>
      <c r="N19" t="s">
        <v>8</v>
      </c>
    </row>
    <row r="20" spans="1:14" x14ac:dyDescent="0.25">
      <c r="A20">
        <v>18</v>
      </c>
      <c r="B20">
        <v>11</v>
      </c>
      <c r="C20">
        <v>10</v>
      </c>
      <c r="D20">
        <v>11</v>
      </c>
      <c r="E20" t="s">
        <v>73</v>
      </c>
      <c r="F20">
        <v>11</v>
      </c>
      <c r="G20">
        <v>11</v>
      </c>
      <c r="H20">
        <v>10.5</v>
      </c>
      <c r="I20">
        <v>11</v>
      </c>
      <c r="J20" t="s">
        <v>73</v>
      </c>
      <c r="K20" t="s">
        <v>41</v>
      </c>
      <c r="L20">
        <v>11</v>
      </c>
      <c r="M20">
        <v>10.5</v>
      </c>
      <c r="N20">
        <v>11</v>
      </c>
    </row>
    <row r="21" spans="1:14" x14ac:dyDescent="0.25">
      <c r="A21">
        <v>19</v>
      </c>
      <c r="B21">
        <v>11</v>
      </c>
      <c r="C21">
        <v>11</v>
      </c>
      <c r="D21">
        <v>11</v>
      </c>
      <c r="E21" t="s">
        <v>73</v>
      </c>
      <c r="F21">
        <v>11</v>
      </c>
      <c r="G21">
        <v>11</v>
      </c>
      <c r="H21">
        <v>11</v>
      </c>
      <c r="I21">
        <v>11</v>
      </c>
      <c r="J21" t="s">
        <v>73</v>
      </c>
      <c r="K21">
        <v>11</v>
      </c>
      <c r="L21">
        <v>11</v>
      </c>
      <c r="M21">
        <v>11</v>
      </c>
      <c r="N21">
        <v>11</v>
      </c>
    </row>
    <row r="22" spans="1:14" x14ac:dyDescent="0.25">
      <c r="A22">
        <v>20</v>
      </c>
      <c r="B22">
        <v>11</v>
      </c>
      <c r="C22">
        <v>11</v>
      </c>
      <c r="D22">
        <v>11</v>
      </c>
      <c r="E22" t="s">
        <v>73</v>
      </c>
      <c r="F22">
        <v>11</v>
      </c>
      <c r="G22">
        <v>11</v>
      </c>
      <c r="H22">
        <v>11</v>
      </c>
      <c r="I22">
        <v>11</v>
      </c>
      <c r="J22" t="s">
        <v>73</v>
      </c>
      <c r="K22">
        <v>11</v>
      </c>
      <c r="L22">
        <v>11</v>
      </c>
      <c r="M22">
        <v>11</v>
      </c>
      <c r="N22">
        <v>11</v>
      </c>
    </row>
    <row r="23" spans="1:14" x14ac:dyDescent="0.25">
      <c r="A23">
        <v>21</v>
      </c>
      <c r="B23">
        <v>11</v>
      </c>
      <c r="C23">
        <v>10.5</v>
      </c>
      <c r="D23">
        <v>11</v>
      </c>
      <c r="E23" t="s">
        <v>73</v>
      </c>
      <c r="F23">
        <v>11</v>
      </c>
      <c r="G23">
        <v>11</v>
      </c>
      <c r="H23">
        <v>11</v>
      </c>
      <c r="I23">
        <v>11</v>
      </c>
      <c r="J23" t="s">
        <v>73</v>
      </c>
      <c r="K23">
        <v>11</v>
      </c>
      <c r="L23">
        <v>10.5</v>
      </c>
      <c r="M23">
        <v>11</v>
      </c>
      <c r="N23">
        <v>11</v>
      </c>
    </row>
    <row r="24" spans="1:14" x14ac:dyDescent="0.25">
      <c r="A24">
        <v>22</v>
      </c>
      <c r="B24">
        <v>11</v>
      </c>
      <c r="C24">
        <v>11</v>
      </c>
      <c r="D24">
        <v>11</v>
      </c>
      <c r="E24" t="s">
        <v>73</v>
      </c>
      <c r="F24">
        <v>11</v>
      </c>
      <c r="G24">
        <v>11</v>
      </c>
      <c r="H24">
        <v>11</v>
      </c>
      <c r="I24">
        <v>11</v>
      </c>
      <c r="J24" t="s">
        <v>73</v>
      </c>
      <c r="K24">
        <v>11</v>
      </c>
      <c r="L24">
        <v>11</v>
      </c>
      <c r="M24" t="s">
        <v>41</v>
      </c>
      <c r="N24">
        <v>11</v>
      </c>
    </row>
    <row r="25" spans="1:14" x14ac:dyDescent="0.25">
      <c r="A25">
        <v>23</v>
      </c>
      <c r="E25" t="s">
        <v>73</v>
      </c>
      <c r="J25" t="s">
        <v>73</v>
      </c>
    </row>
    <row r="26" spans="1:14" x14ac:dyDescent="0.25">
      <c r="A26" t="s">
        <v>4</v>
      </c>
      <c r="B26" t="s">
        <v>8</v>
      </c>
      <c r="C26" t="s">
        <v>8</v>
      </c>
      <c r="D26" t="s">
        <v>8</v>
      </c>
      <c r="E26" t="s">
        <v>8</v>
      </c>
      <c r="F26" t="s">
        <v>8</v>
      </c>
      <c r="G26" t="s">
        <v>8</v>
      </c>
      <c r="H26" t="s">
        <v>8</v>
      </c>
      <c r="I26" t="s">
        <v>8</v>
      </c>
      <c r="J26" t="s">
        <v>8</v>
      </c>
      <c r="K26" t="s">
        <v>8</v>
      </c>
      <c r="L26" t="s">
        <v>8</v>
      </c>
      <c r="M26" t="s">
        <v>8</v>
      </c>
      <c r="N26" t="s">
        <v>8</v>
      </c>
    </row>
    <row r="27" spans="1:14" x14ac:dyDescent="0.25">
      <c r="A27">
        <v>25</v>
      </c>
      <c r="B27">
        <v>11</v>
      </c>
      <c r="C27">
        <v>10.5</v>
      </c>
      <c r="D27">
        <v>11</v>
      </c>
      <c r="E27" t="s">
        <v>73</v>
      </c>
      <c r="F27">
        <v>11</v>
      </c>
      <c r="H27">
        <v>10.5</v>
      </c>
      <c r="I27">
        <v>11</v>
      </c>
      <c r="J27" t="s">
        <v>73</v>
      </c>
      <c r="K27">
        <v>11</v>
      </c>
      <c r="L27">
        <v>11</v>
      </c>
      <c r="M27">
        <v>11</v>
      </c>
      <c r="N27">
        <v>11</v>
      </c>
    </row>
    <row r="28" spans="1:14" x14ac:dyDescent="0.25">
      <c r="A28">
        <v>26</v>
      </c>
      <c r="B28">
        <v>11</v>
      </c>
      <c r="C28">
        <v>10.5</v>
      </c>
      <c r="D28">
        <v>11</v>
      </c>
      <c r="E28" t="s">
        <v>73</v>
      </c>
      <c r="F28" t="s">
        <v>41</v>
      </c>
      <c r="G28">
        <v>11</v>
      </c>
      <c r="H28">
        <v>10.5</v>
      </c>
      <c r="I28">
        <v>11</v>
      </c>
      <c r="J28" t="s">
        <v>73</v>
      </c>
      <c r="K28">
        <v>11</v>
      </c>
      <c r="L28">
        <v>11</v>
      </c>
      <c r="M28">
        <v>11</v>
      </c>
      <c r="N28">
        <v>10.5</v>
      </c>
    </row>
    <row r="29" spans="1:14" x14ac:dyDescent="0.25">
      <c r="A29">
        <v>27</v>
      </c>
      <c r="B29">
        <v>11</v>
      </c>
      <c r="C29">
        <v>10.5</v>
      </c>
      <c r="D29">
        <v>11</v>
      </c>
      <c r="E29" t="s">
        <v>73</v>
      </c>
      <c r="F29" t="s">
        <v>41</v>
      </c>
      <c r="G29">
        <v>11</v>
      </c>
      <c r="H29">
        <v>10.5</v>
      </c>
      <c r="I29">
        <v>11</v>
      </c>
      <c r="J29" t="s">
        <v>73</v>
      </c>
      <c r="K29">
        <v>11</v>
      </c>
      <c r="L29">
        <v>11</v>
      </c>
      <c r="M29">
        <v>11</v>
      </c>
      <c r="N29">
        <v>10.5</v>
      </c>
    </row>
    <row r="30" spans="1:14" x14ac:dyDescent="0.25">
      <c r="A30">
        <v>28</v>
      </c>
      <c r="B30">
        <v>11</v>
      </c>
      <c r="C30">
        <v>10.5</v>
      </c>
      <c r="D30">
        <v>11</v>
      </c>
      <c r="E30" t="s">
        <v>73</v>
      </c>
      <c r="F30" t="s">
        <v>41</v>
      </c>
      <c r="G30">
        <v>11</v>
      </c>
      <c r="H30">
        <v>10.5</v>
      </c>
      <c r="I30">
        <v>11</v>
      </c>
      <c r="J30" t="s">
        <v>73</v>
      </c>
      <c r="K30">
        <v>11</v>
      </c>
      <c r="L30">
        <v>11</v>
      </c>
      <c r="M30">
        <v>11</v>
      </c>
      <c r="N30">
        <v>10.5</v>
      </c>
    </row>
    <row r="31" spans="1:14" x14ac:dyDescent="0.25">
      <c r="A31">
        <v>29</v>
      </c>
      <c r="B31">
        <v>11</v>
      </c>
      <c r="C31" s="9">
        <v>13</v>
      </c>
      <c r="D31">
        <v>11</v>
      </c>
      <c r="E31" t="s">
        <v>73</v>
      </c>
      <c r="F31" t="s">
        <v>41</v>
      </c>
      <c r="G31">
        <v>11</v>
      </c>
      <c r="H31" s="9">
        <v>13</v>
      </c>
      <c r="I31">
        <v>11</v>
      </c>
      <c r="J31" t="s">
        <v>73</v>
      </c>
      <c r="K31">
        <v>11</v>
      </c>
      <c r="L31">
        <v>11</v>
      </c>
      <c r="M31">
        <v>11</v>
      </c>
      <c r="N31">
        <v>5</v>
      </c>
    </row>
    <row r="32" spans="1:14" x14ac:dyDescent="0.25">
      <c r="A32">
        <v>30</v>
      </c>
      <c r="E32" t="s">
        <v>73</v>
      </c>
      <c r="F32" t="s">
        <v>41</v>
      </c>
      <c r="J32" t="s">
        <v>73</v>
      </c>
    </row>
    <row r="33" spans="1:14" x14ac:dyDescent="0.25">
      <c r="A33" t="s">
        <v>5</v>
      </c>
      <c r="B33" t="s">
        <v>8</v>
      </c>
      <c r="C33" t="s">
        <v>8</v>
      </c>
      <c r="D33" t="s">
        <v>8</v>
      </c>
      <c r="E33" t="s">
        <v>8</v>
      </c>
      <c r="F33" t="s">
        <v>8</v>
      </c>
      <c r="G33" t="s">
        <v>8</v>
      </c>
      <c r="H33" t="s">
        <v>8</v>
      </c>
      <c r="I33" t="s">
        <v>8</v>
      </c>
      <c r="J33" t="s">
        <v>8</v>
      </c>
      <c r="K33" t="s">
        <v>8</v>
      </c>
      <c r="L33" t="s">
        <v>8</v>
      </c>
      <c r="M33" t="s">
        <v>8</v>
      </c>
      <c r="N33" t="s">
        <v>8</v>
      </c>
    </row>
    <row r="34" spans="1:14" x14ac:dyDescent="0.25">
      <c r="A34" t="s">
        <v>6</v>
      </c>
      <c r="B34">
        <f>SUM(B3:B33)</f>
        <v>187</v>
      </c>
      <c r="C34">
        <f>SUM(C3:C33)</f>
        <v>229.5</v>
      </c>
      <c r="D34">
        <f>SUM(D3:D33)</f>
        <v>231</v>
      </c>
      <c r="E34">
        <f t="shared" ref="E34:I34" si="0">SUM(E3:E33)</f>
        <v>69</v>
      </c>
      <c r="F34">
        <f t="shared" si="0"/>
        <v>176</v>
      </c>
      <c r="G34">
        <f t="shared" si="0"/>
        <v>206</v>
      </c>
      <c r="H34">
        <f t="shared" si="0"/>
        <v>224</v>
      </c>
      <c r="I34">
        <f t="shared" si="0"/>
        <v>236</v>
      </c>
      <c r="J34">
        <f t="shared" ref="J34" si="1">SUM(J3:J33)</f>
        <v>69</v>
      </c>
      <c r="K34">
        <f t="shared" ref="K34:N34" si="2">SUM(K3:K33)</f>
        <v>213</v>
      </c>
      <c r="L34">
        <f t="shared" si="2"/>
        <v>219.5</v>
      </c>
      <c r="M34">
        <f t="shared" si="2"/>
        <v>192</v>
      </c>
      <c r="N34">
        <f t="shared" si="2"/>
        <v>198.5</v>
      </c>
    </row>
  </sheetData>
  <conditionalFormatting sqref="A1:XFD1">
    <cfRule type="duplicateValues" dxfId="7" priority="1"/>
  </conditionalFormatting>
  <pageMargins left="0.7" right="0.7" top="0.75" bottom="0.75" header="0.3" footer="0.3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371FD-C944-46D0-9DD7-984372FE130A}">
  <dimension ref="A1:M34"/>
  <sheetViews>
    <sheetView rightToLeft="1" topLeftCell="A12" workbookViewId="0">
      <selection activeCell="B1" sqref="B1"/>
    </sheetView>
  </sheetViews>
  <sheetFormatPr defaultRowHeight="13.8" x14ac:dyDescent="0.25"/>
  <cols>
    <col min="2" max="2" width="10.19921875" bestFit="1" customWidth="1"/>
    <col min="3" max="3" width="9.19921875" bestFit="1" customWidth="1"/>
    <col min="5" max="5" width="10.19921875" bestFit="1" customWidth="1"/>
    <col min="6" max="6" width="14.19921875" bestFit="1" customWidth="1"/>
    <col min="10" max="10" width="26.19921875" customWidth="1"/>
  </cols>
  <sheetData>
    <row r="1" spans="1:13" x14ac:dyDescent="0.25">
      <c r="A1" t="s">
        <v>0</v>
      </c>
      <c r="B1" s="10" t="s">
        <v>192</v>
      </c>
      <c r="C1" t="s">
        <v>194</v>
      </c>
      <c r="D1" t="s">
        <v>201</v>
      </c>
      <c r="E1" t="s">
        <v>202</v>
      </c>
      <c r="F1" t="s">
        <v>145</v>
      </c>
      <c r="G1" s="10" t="s">
        <v>225</v>
      </c>
      <c r="H1" s="10" t="s">
        <v>102</v>
      </c>
      <c r="I1" t="s">
        <v>143</v>
      </c>
    </row>
    <row r="2" spans="1:13" x14ac:dyDescent="0.25">
      <c r="B2" t="s">
        <v>191</v>
      </c>
      <c r="C2" t="s">
        <v>195</v>
      </c>
      <c r="D2" t="s">
        <v>94</v>
      </c>
      <c r="E2" t="s">
        <v>203</v>
      </c>
      <c r="F2" t="s">
        <v>223</v>
      </c>
      <c r="G2" t="s">
        <v>42</v>
      </c>
      <c r="H2" t="s">
        <v>103</v>
      </c>
      <c r="I2" t="s">
        <v>60</v>
      </c>
    </row>
    <row r="3" spans="1:13" x14ac:dyDescent="0.25">
      <c r="A3">
        <v>1</v>
      </c>
      <c r="B3" s="1">
        <v>11</v>
      </c>
      <c r="G3" s="1" t="s">
        <v>226</v>
      </c>
      <c r="H3" s="1" t="s">
        <v>229</v>
      </c>
    </row>
    <row r="4" spans="1:13" x14ac:dyDescent="0.25">
      <c r="A4">
        <v>2</v>
      </c>
      <c r="B4" s="1">
        <v>5</v>
      </c>
      <c r="D4">
        <v>7</v>
      </c>
      <c r="E4">
        <v>7</v>
      </c>
      <c r="G4" s="1"/>
      <c r="H4" s="1" t="s">
        <v>230</v>
      </c>
    </row>
    <row r="5" spans="1:13" x14ac:dyDescent="0.25">
      <c r="A5" t="s">
        <v>1</v>
      </c>
      <c r="B5" s="1" t="s">
        <v>8</v>
      </c>
      <c r="D5" t="s">
        <v>8</v>
      </c>
      <c r="E5" t="s">
        <v>8</v>
      </c>
      <c r="G5" s="1"/>
      <c r="H5" s="1"/>
    </row>
    <row r="6" spans="1:13" x14ac:dyDescent="0.25">
      <c r="A6">
        <v>4</v>
      </c>
      <c r="B6" s="1">
        <v>11</v>
      </c>
      <c r="D6">
        <v>10</v>
      </c>
      <c r="E6">
        <v>10</v>
      </c>
      <c r="G6" s="1"/>
      <c r="H6" s="1"/>
    </row>
    <row r="7" spans="1:13" x14ac:dyDescent="0.25">
      <c r="A7">
        <v>5</v>
      </c>
      <c r="B7" s="1">
        <v>11</v>
      </c>
      <c r="D7">
        <v>10</v>
      </c>
      <c r="E7">
        <v>10</v>
      </c>
      <c r="G7" s="1"/>
      <c r="H7" s="1"/>
    </row>
    <row r="8" spans="1:13" x14ac:dyDescent="0.25">
      <c r="A8">
        <v>6</v>
      </c>
      <c r="B8" s="1">
        <v>11</v>
      </c>
      <c r="D8">
        <v>10</v>
      </c>
      <c r="E8">
        <v>10</v>
      </c>
      <c r="G8" s="1"/>
      <c r="H8" s="1"/>
    </row>
    <row r="9" spans="1:13" x14ac:dyDescent="0.25">
      <c r="A9">
        <v>7</v>
      </c>
      <c r="B9" s="1">
        <v>11</v>
      </c>
      <c r="D9">
        <v>10</v>
      </c>
      <c r="E9">
        <v>10</v>
      </c>
      <c r="G9" s="1"/>
      <c r="H9" s="1"/>
    </row>
    <row r="10" spans="1:13" x14ac:dyDescent="0.25">
      <c r="A10">
        <v>8</v>
      </c>
      <c r="B10" s="1">
        <v>11</v>
      </c>
      <c r="D10">
        <v>10</v>
      </c>
      <c r="E10">
        <v>10</v>
      </c>
      <c r="G10" s="1"/>
      <c r="H10" s="1"/>
    </row>
    <row r="11" spans="1:13" x14ac:dyDescent="0.25">
      <c r="A11">
        <v>9</v>
      </c>
      <c r="B11" s="1">
        <v>5</v>
      </c>
      <c r="D11">
        <v>7</v>
      </c>
      <c r="E11">
        <v>7</v>
      </c>
      <c r="G11" s="1"/>
      <c r="H11" s="1"/>
    </row>
    <row r="12" spans="1:13" ht="82.8" x14ac:dyDescent="0.25">
      <c r="A12" t="s">
        <v>2</v>
      </c>
      <c r="B12" s="1" t="s">
        <v>8</v>
      </c>
      <c r="D12" t="s">
        <v>8</v>
      </c>
      <c r="E12" t="s">
        <v>8</v>
      </c>
      <c r="G12" s="1"/>
      <c r="H12" s="1"/>
      <c r="M12" s="6" t="s">
        <v>193</v>
      </c>
    </row>
    <row r="13" spans="1:13" x14ac:dyDescent="0.25">
      <c r="A13">
        <v>11</v>
      </c>
      <c r="B13" s="1">
        <v>11</v>
      </c>
      <c r="D13">
        <v>10</v>
      </c>
      <c r="E13">
        <v>10</v>
      </c>
      <c r="G13" s="1"/>
      <c r="H13" s="1"/>
    </row>
    <row r="14" spans="1:13" x14ac:dyDescent="0.25">
      <c r="A14">
        <v>12</v>
      </c>
      <c r="B14" s="1"/>
      <c r="D14">
        <v>10</v>
      </c>
      <c r="E14">
        <v>10</v>
      </c>
      <c r="G14" s="1"/>
      <c r="H14" s="1"/>
    </row>
    <row r="15" spans="1:13" x14ac:dyDescent="0.25">
      <c r="A15">
        <v>13</v>
      </c>
      <c r="B15" s="1"/>
      <c r="D15">
        <v>10</v>
      </c>
      <c r="E15">
        <v>10</v>
      </c>
      <c r="G15" s="1"/>
      <c r="H15" s="1"/>
    </row>
    <row r="16" spans="1:13" x14ac:dyDescent="0.25">
      <c r="A16">
        <v>14</v>
      </c>
      <c r="B16" s="1"/>
      <c r="D16">
        <v>10</v>
      </c>
      <c r="E16">
        <v>10</v>
      </c>
      <c r="G16" s="1"/>
      <c r="H16" s="1"/>
    </row>
    <row r="17" spans="1:13" x14ac:dyDescent="0.25">
      <c r="A17">
        <v>15</v>
      </c>
      <c r="B17" s="1"/>
      <c r="D17">
        <v>10</v>
      </c>
      <c r="E17">
        <v>10</v>
      </c>
      <c r="F17" s="3">
        <v>10</v>
      </c>
      <c r="G17" s="1"/>
      <c r="H17" s="1"/>
      <c r="I17" s="3">
        <v>10</v>
      </c>
    </row>
    <row r="18" spans="1:13" x14ac:dyDescent="0.25">
      <c r="A18">
        <v>16</v>
      </c>
      <c r="B18" s="1"/>
      <c r="D18">
        <v>7</v>
      </c>
      <c r="E18">
        <v>7</v>
      </c>
      <c r="F18" s="3"/>
      <c r="G18" s="1"/>
      <c r="H18" s="1"/>
      <c r="I18" s="3"/>
    </row>
    <row r="19" spans="1:13" x14ac:dyDescent="0.25">
      <c r="A19" t="s">
        <v>3</v>
      </c>
      <c r="B19" t="s">
        <v>8</v>
      </c>
      <c r="C19" t="s">
        <v>8</v>
      </c>
      <c r="D19" t="s">
        <v>8</v>
      </c>
      <c r="E19" t="s">
        <v>8</v>
      </c>
      <c r="F19" s="3" t="s">
        <v>8</v>
      </c>
      <c r="G19" s="1"/>
      <c r="H19" s="1"/>
      <c r="I19" s="3" t="s">
        <v>8</v>
      </c>
      <c r="M19" s="3" t="s">
        <v>224</v>
      </c>
    </row>
    <row r="20" spans="1:13" x14ac:dyDescent="0.25">
      <c r="A20">
        <v>18</v>
      </c>
      <c r="D20">
        <v>10</v>
      </c>
      <c r="E20">
        <v>10</v>
      </c>
      <c r="F20" s="3">
        <v>10</v>
      </c>
      <c r="G20" s="1"/>
      <c r="H20" s="1"/>
      <c r="I20" s="3">
        <v>10</v>
      </c>
    </row>
    <row r="21" spans="1:13" x14ac:dyDescent="0.25">
      <c r="A21">
        <v>19</v>
      </c>
      <c r="D21">
        <v>10</v>
      </c>
      <c r="E21">
        <v>10</v>
      </c>
      <c r="F21" s="3">
        <v>10</v>
      </c>
      <c r="G21" s="1"/>
      <c r="H21" s="1"/>
      <c r="I21" s="3">
        <v>10</v>
      </c>
    </row>
    <row r="22" spans="1:13" x14ac:dyDescent="0.25">
      <c r="A22">
        <v>20</v>
      </c>
      <c r="B22">
        <v>11</v>
      </c>
      <c r="C22">
        <v>11</v>
      </c>
      <c r="D22">
        <v>10</v>
      </c>
      <c r="E22">
        <v>10</v>
      </c>
      <c r="F22" s="3">
        <v>10</v>
      </c>
      <c r="G22" s="1"/>
      <c r="H22" s="1"/>
      <c r="I22" s="3">
        <v>10</v>
      </c>
    </row>
    <row r="23" spans="1:13" x14ac:dyDescent="0.25">
      <c r="A23">
        <v>21</v>
      </c>
      <c r="B23">
        <v>11</v>
      </c>
      <c r="C23">
        <v>11</v>
      </c>
      <c r="D23">
        <v>10</v>
      </c>
      <c r="E23">
        <v>10</v>
      </c>
      <c r="F23" s="3">
        <v>10</v>
      </c>
      <c r="G23" s="1"/>
      <c r="H23" s="1"/>
      <c r="I23" s="3">
        <v>10</v>
      </c>
    </row>
    <row r="24" spans="1:13" x14ac:dyDescent="0.25">
      <c r="A24">
        <v>22</v>
      </c>
      <c r="B24">
        <v>11</v>
      </c>
      <c r="C24">
        <v>11</v>
      </c>
      <c r="D24">
        <v>10</v>
      </c>
      <c r="E24">
        <v>10</v>
      </c>
      <c r="F24" s="3">
        <v>10</v>
      </c>
      <c r="G24" s="1"/>
      <c r="H24" s="1"/>
      <c r="I24" s="3">
        <v>10</v>
      </c>
    </row>
    <row r="25" spans="1:13" x14ac:dyDescent="0.25">
      <c r="A25">
        <v>23</v>
      </c>
      <c r="B25">
        <v>6</v>
      </c>
      <c r="C25">
        <v>6</v>
      </c>
      <c r="D25">
        <v>7</v>
      </c>
      <c r="E25">
        <v>7</v>
      </c>
      <c r="F25" s="3"/>
      <c r="G25" s="1"/>
      <c r="H25" s="1"/>
      <c r="I25" s="3"/>
    </row>
    <row r="26" spans="1:13" x14ac:dyDescent="0.25">
      <c r="A26" t="s">
        <v>4</v>
      </c>
      <c r="B26" t="s">
        <v>8</v>
      </c>
      <c r="C26" t="s">
        <v>8</v>
      </c>
      <c r="D26" t="s">
        <v>8</v>
      </c>
      <c r="E26" t="s">
        <v>8</v>
      </c>
      <c r="F26" t="s">
        <v>8</v>
      </c>
      <c r="G26" s="1"/>
      <c r="H26" s="1"/>
      <c r="I26" t="s">
        <v>8</v>
      </c>
    </row>
    <row r="27" spans="1:13" x14ac:dyDescent="0.25">
      <c r="A27">
        <v>25</v>
      </c>
      <c r="B27">
        <v>11</v>
      </c>
      <c r="C27">
        <v>11</v>
      </c>
      <c r="D27">
        <v>10</v>
      </c>
      <c r="E27">
        <v>10</v>
      </c>
      <c r="G27" s="1"/>
      <c r="H27" s="1"/>
    </row>
    <row r="28" spans="1:13" x14ac:dyDescent="0.25">
      <c r="A28">
        <v>26</v>
      </c>
      <c r="B28">
        <v>11</v>
      </c>
      <c r="C28">
        <v>11</v>
      </c>
      <c r="D28">
        <v>10</v>
      </c>
      <c r="E28">
        <v>10</v>
      </c>
      <c r="G28" s="1"/>
      <c r="H28" s="1"/>
    </row>
    <row r="29" spans="1:13" x14ac:dyDescent="0.25">
      <c r="A29">
        <v>27</v>
      </c>
      <c r="B29">
        <v>11</v>
      </c>
      <c r="C29">
        <v>11</v>
      </c>
      <c r="D29">
        <v>10</v>
      </c>
      <c r="E29">
        <v>10</v>
      </c>
      <c r="F29">
        <v>10</v>
      </c>
      <c r="G29">
        <v>10</v>
      </c>
      <c r="I29">
        <v>10</v>
      </c>
    </row>
    <row r="30" spans="1:13" x14ac:dyDescent="0.25">
      <c r="A30">
        <v>28</v>
      </c>
      <c r="B30">
        <v>11</v>
      </c>
      <c r="C30">
        <v>11</v>
      </c>
      <c r="D30">
        <v>10</v>
      </c>
      <c r="E30">
        <v>10</v>
      </c>
      <c r="F30">
        <v>10</v>
      </c>
      <c r="G30">
        <v>10</v>
      </c>
      <c r="H30">
        <v>10</v>
      </c>
      <c r="I30">
        <v>10</v>
      </c>
    </row>
    <row r="31" spans="1:13" x14ac:dyDescent="0.25">
      <c r="A31">
        <v>29</v>
      </c>
      <c r="B31">
        <v>11</v>
      </c>
      <c r="C31">
        <v>11</v>
      </c>
      <c r="D31">
        <v>10</v>
      </c>
      <c r="E31">
        <v>10</v>
      </c>
      <c r="F31">
        <v>10</v>
      </c>
      <c r="G31">
        <v>10</v>
      </c>
      <c r="H31">
        <v>10</v>
      </c>
      <c r="I31">
        <v>10</v>
      </c>
    </row>
    <row r="32" spans="1:13" x14ac:dyDescent="0.25">
      <c r="A32">
        <v>30</v>
      </c>
      <c r="B32">
        <v>6</v>
      </c>
      <c r="C32">
        <v>6</v>
      </c>
      <c r="D32">
        <v>7</v>
      </c>
      <c r="E32">
        <v>7</v>
      </c>
      <c r="F32">
        <v>6</v>
      </c>
      <c r="G32">
        <v>6</v>
      </c>
      <c r="H32">
        <v>6</v>
      </c>
      <c r="I32">
        <v>6</v>
      </c>
    </row>
    <row r="33" spans="1:9" x14ac:dyDescent="0.25">
      <c r="A33" t="s">
        <v>5</v>
      </c>
      <c r="B33" t="s">
        <v>8</v>
      </c>
      <c r="C33" t="s">
        <v>8</v>
      </c>
      <c r="D33" t="s">
        <v>8</v>
      </c>
      <c r="E33" t="s">
        <v>8</v>
      </c>
      <c r="F33" t="s">
        <v>8</v>
      </c>
      <c r="G33" t="s">
        <v>8</v>
      </c>
      <c r="H33" t="s">
        <v>8</v>
      </c>
      <c r="I33" t="s">
        <v>8</v>
      </c>
    </row>
    <row r="34" spans="1:9" x14ac:dyDescent="0.25">
      <c r="A34" t="s">
        <v>6</v>
      </c>
      <c r="B34">
        <f>SUM(B22:B33)</f>
        <v>100</v>
      </c>
      <c r="C34">
        <f>SUM(C22:C33)</f>
        <v>100</v>
      </c>
      <c r="D34">
        <f t="shared" ref="D34:I34" si="0">SUM(D3:D33)</f>
        <v>235</v>
      </c>
      <c r="E34">
        <f t="shared" si="0"/>
        <v>235</v>
      </c>
      <c r="F34">
        <f t="shared" si="0"/>
        <v>96</v>
      </c>
      <c r="G34">
        <f t="shared" si="0"/>
        <v>36</v>
      </c>
      <c r="H34">
        <f t="shared" si="0"/>
        <v>26</v>
      </c>
      <c r="I34">
        <f t="shared" si="0"/>
        <v>96</v>
      </c>
    </row>
  </sheetData>
  <conditionalFormatting sqref="A1:XFD1">
    <cfRule type="duplicateValues" dxfId="6" priority="1"/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2A25E-A7D0-4CF6-B3CE-060E31029747}">
  <sheetPr>
    <tabColor rgb="FFFFC000"/>
  </sheetPr>
  <dimension ref="A1:E34"/>
  <sheetViews>
    <sheetView rightToLeft="1" topLeftCell="A16" workbookViewId="0">
      <selection activeCell="E1" sqref="E1"/>
    </sheetView>
  </sheetViews>
  <sheetFormatPr defaultRowHeight="13.8" x14ac:dyDescent="0.25"/>
  <sheetData>
    <row r="1" spans="1:5" x14ac:dyDescent="0.25">
      <c r="A1" t="s">
        <v>0</v>
      </c>
      <c r="B1" t="s">
        <v>196</v>
      </c>
      <c r="C1" t="s">
        <v>198</v>
      </c>
      <c r="D1" t="s">
        <v>215</v>
      </c>
      <c r="E1" s="8" t="s">
        <v>234</v>
      </c>
    </row>
    <row r="2" spans="1:5" x14ac:dyDescent="0.25">
      <c r="B2" t="s">
        <v>197</v>
      </c>
      <c r="C2" t="s">
        <v>64</v>
      </c>
      <c r="D2" t="s">
        <v>216</v>
      </c>
      <c r="E2" t="s">
        <v>181</v>
      </c>
    </row>
    <row r="3" spans="1:5" x14ac:dyDescent="0.25">
      <c r="A3">
        <v>1</v>
      </c>
      <c r="B3">
        <v>10</v>
      </c>
      <c r="C3">
        <v>10</v>
      </c>
      <c r="D3">
        <v>10</v>
      </c>
      <c r="E3">
        <v>10</v>
      </c>
    </row>
    <row r="4" spans="1:5" x14ac:dyDescent="0.25">
      <c r="A4">
        <v>2</v>
      </c>
      <c r="B4">
        <v>4.5</v>
      </c>
      <c r="C4">
        <v>4.5</v>
      </c>
      <c r="D4">
        <v>4.5</v>
      </c>
      <c r="E4">
        <v>4.5</v>
      </c>
    </row>
    <row r="5" spans="1:5" x14ac:dyDescent="0.25">
      <c r="A5" t="s">
        <v>1</v>
      </c>
      <c r="B5" t="s">
        <v>8</v>
      </c>
      <c r="C5" t="s">
        <v>8</v>
      </c>
      <c r="D5" t="s">
        <v>8</v>
      </c>
      <c r="E5" t="s">
        <v>8</v>
      </c>
    </row>
    <row r="6" spans="1:5" x14ac:dyDescent="0.25">
      <c r="A6">
        <v>4</v>
      </c>
      <c r="B6">
        <v>9</v>
      </c>
      <c r="C6">
        <v>9</v>
      </c>
      <c r="D6">
        <v>9</v>
      </c>
      <c r="E6">
        <v>9</v>
      </c>
    </row>
    <row r="7" spans="1:5" x14ac:dyDescent="0.25">
      <c r="A7">
        <v>5</v>
      </c>
      <c r="B7">
        <v>9</v>
      </c>
      <c r="C7">
        <v>9</v>
      </c>
      <c r="D7">
        <v>9</v>
      </c>
      <c r="E7">
        <v>9</v>
      </c>
    </row>
    <row r="8" spans="1:5" x14ac:dyDescent="0.25">
      <c r="A8">
        <v>6</v>
      </c>
      <c r="B8">
        <v>9</v>
      </c>
      <c r="C8">
        <v>9</v>
      </c>
      <c r="D8">
        <v>9</v>
      </c>
      <c r="E8">
        <v>9</v>
      </c>
    </row>
    <row r="9" spans="1:5" x14ac:dyDescent="0.25">
      <c r="A9">
        <v>7</v>
      </c>
      <c r="B9">
        <v>10</v>
      </c>
      <c r="C9">
        <v>10</v>
      </c>
      <c r="D9">
        <v>9</v>
      </c>
      <c r="E9">
        <v>9</v>
      </c>
    </row>
    <row r="10" spans="1:5" x14ac:dyDescent="0.25">
      <c r="A10">
        <v>8</v>
      </c>
      <c r="B10">
        <v>10</v>
      </c>
      <c r="C10">
        <v>10</v>
      </c>
      <c r="D10">
        <v>9</v>
      </c>
      <c r="E10">
        <v>9</v>
      </c>
    </row>
    <row r="11" spans="1:5" x14ac:dyDescent="0.25">
      <c r="A11">
        <v>9</v>
      </c>
      <c r="B11">
        <v>7</v>
      </c>
      <c r="C11">
        <v>7</v>
      </c>
      <c r="D11">
        <v>7</v>
      </c>
      <c r="E11">
        <v>7</v>
      </c>
    </row>
    <row r="12" spans="1:5" x14ac:dyDescent="0.25">
      <c r="A12" t="s">
        <v>2</v>
      </c>
      <c r="B12" t="s">
        <v>8</v>
      </c>
      <c r="C12" t="s">
        <v>8</v>
      </c>
      <c r="D12" t="s">
        <v>8</v>
      </c>
      <c r="E12" t="s">
        <v>8</v>
      </c>
    </row>
    <row r="13" spans="1:5" x14ac:dyDescent="0.25">
      <c r="A13">
        <v>11</v>
      </c>
      <c r="B13">
        <v>10</v>
      </c>
      <c r="C13">
        <v>10</v>
      </c>
      <c r="D13">
        <v>9</v>
      </c>
      <c r="E13">
        <v>9</v>
      </c>
    </row>
    <row r="14" spans="1:5" x14ac:dyDescent="0.25">
      <c r="A14">
        <v>12</v>
      </c>
      <c r="B14">
        <v>10</v>
      </c>
      <c r="C14">
        <v>10</v>
      </c>
      <c r="D14">
        <v>9</v>
      </c>
      <c r="E14">
        <v>9</v>
      </c>
    </row>
    <row r="15" spans="1:5" x14ac:dyDescent="0.25">
      <c r="A15">
        <v>13</v>
      </c>
      <c r="B15" t="s">
        <v>41</v>
      </c>
      <c r="C15" t="s">
        <v>41</v>
      </c>
      <c r="D15">
        <v>7.5</v>
      </c>
      <c r="E15">
        <v>7.5</v>
      </c>
    </row>
    <row r="16" spans="1:5" x14ac:dyDescent="0.25">
      <c r="A16">
        <v>14</v>
      </c>
      <c r="B16">
        <v>10</v>
      </c>
      <c r="C16">
        <v>10</v>
      </c>
      <c r="D16" t="s">
        <v>41</v>
      </c>
      <c r="E16">
        <v>9</v>
      </c>
    </row>
    <row r="17" spans="1:5" x14ac:dyDescent="0.25">
      <c r="A17">
        <v>15</v>
      </c>
      <c r="B17">
        <v>10</v>
      </c>
      <c r="C17">
        <v>10</v>
      </c>
      <c r="D17">
        <v>9</v>
      </c>
      <c r="E17">
        <v>9</v>
      </c>
    </row>
    <row r="18" spans="1:5" x14ac:dyDescent="0.25">
      <c r="A18">
        <v>16</v>
      </c>
      <c r="B18">
        <v>7</v>
      </c>
      <c r="C18">
        <v>7</v>
      </c>
      <c r="D18">
        <v>5</v>
      </c>
      <c r="E18">
        <v>5</v>
      </c>
    </row>
    <row r="19" spans="1:5" x14ac:dyDescent="0.25">
      <c r="A19" t="s">
        <v>3</v>
      </c>
      <c r="B19" t="s">
        <v>8</v>
      </c>
      <c r="C19" t="s">
        <v>8</v>
      </c>
      <c r="D19" t="s">
        <v>8</v>
      </c>
      <c r="E19" t="s">
        <v>8</v>
      </c>
    </row>
    <row r="20" spans="1:5" x14ac:dyDescent="0.25">
      <c r="A20">
        <v>18</v>
      </c>
      <c r="B20">
        <v>10</v>
      </c>
      <c r="C20">
        <v>10</v>
      </c>
      <c r="D20">
        <v>9</v>
      </c>
      <c r="E20">
        <v>9</v>
      </c>
    </row>
    <row r="21" spans="1:5" x14ac:dyDescent="0.25">
      <c r="A21">
        <v>19</v>
      </c>
      <c r="B21">
        <v>10</v>
      </c>
      <c r="C21">
        <v>10</v>
      </c>
      <c r="D21">
        <v>9</v>
      </c>
      <c r="E21">
        <v>9</v>
      </c>
    </row>
    <row r="22" spans="1:5" x14ac:dyDescent="0.25">
      <c r="A22">
        <v>20</v>
      </c>
      <c r="B22">
        <v>10</v>
      </c>
      <c r="C22">
        <v>10</v>
      </c>
      <c r="D22">
        <v>9</v>
      </c>
      <c r="E22">
        <v>9</v>
      </c>
    </row>
    <row r="23" spans="1:5" x14ac:dyDescent="0.25">
      <c r="A23">
        <v>21</v>
      </c>
      <c r="B23">
        <v>10</v>
      </c>
      <c r="C23">
        <v>10</v>
      </c>
      <c r="D23">
        <v>10</v>
      </c>
      <c r="E23">
        <v>9.5</v>
      </c>
    </row>
    <row r="24" spans="1:5" x14ac:dyDescent="0.25">
      <c r="A24">
        <v>22</v>
      </c>
      <c r="B24">
        <v>10</v>
      </c>
      <c r="C24">
        <v>10</v>
      </c>
      <c r="D24">
        <v>9</v>
      </c>
      <c r="E24">
        <v>8.5</v>
      </c>
    </row>
    <row r="25" spans="1:5" x14ac:dyDescent="0.25">
      <c r="A25">
        <v>23</v>
      </c>
      <c r="B25">
        <v>7</v>
      </c>
      <c r="C25">
        <v>7</v>
      </c>
      <c r="D25">
        <v>7</v>
      </c>
      <c r="E25">
        <v>6.5</v>
      </c>
    </row>
    <row r="26" spans="1:5" x14ac:dyDescent="0.25">
      <c r="A26" t="s">
        <v>4</v>
      </c>
      <c r="B26" t="s">
        <v>8</v>
      </c>
      <c r="C26" t="s">
        <v>8</v>
      </c>
      <c r="D26" t="s">
        <v>8</v>
      </c>
      <c r="E26" t="s">
        <v>8</v>
      </c>
    </row>
    <row r="27" spans="1:5" x14ac:dyDescent="0.25">
      <c r="A27">
        <v>25</v>
      </c>
      <c r="B27">
        <v>10</v>
      </c>
      <c r="C27" t="s">
        <v>41</v>
      </c>
      <c r="D27">
        <v>9</v>
      </c>
      <c r="E27">
        <v>8.5</v>
      </c>
    </row>
    <row r="28" spans="1:5" x14ac:dyDescent="0.25">
      <c r="A28">
        <v>26</v>
      </c>
      <c r="B28">
        <v>10</v>
      </c>
      <c r="C28">
        <v>10</v>
      </c>
      <c r="D28">
        <v>9</v>
      </c>
      <c r="E28">
        <v>8.5</v>
      </c>
    </row>
    <row r="29" spans="1:5" x14ac:dyDescent="0.25">
      <c r="A29">
        <v>27</v>
      </c>
      <c r="B29">
        <v>10</v>
      </c>
      <c r="C29">
        <v>10</v>
      </c>
      <c r="D29">
        <v>9</v>
      </c>
      <c r="E29">
        <v>8.5</v>
      </c>
    </row>
    <row r="30" spans="1:5" x14ac:dyDescent="0.25">
      <c r="A30">
        <v>28</v>
      </c>
      <c r="B30">
        <v>10</v>
      </c>
      <c r="C30">
        <v>10</v>
      </c>
      <c r="D30">
        <v>8.5</v>
      </c>
      <c r="E30">
        <v>8.5</v>
      </c>
    </row>
    <row r="31" spans="1:5" x14ac:dyDescent="0.25">
      <c r="A31">
        <v>29</v>
      </c>
      <c r="B31">
        <v>10</v>
      </c>
      <c r="C31">
        <v>10</v>
      </c>
      <c r="D31">
        <v>8.5</v>
      </c>
      <c r="E31">
        <v>8.5</v>
      </c>
    </row>
    <row r="32" spans="1:5" x14ac:dyDescent="0.25">
      <c r="A32">
        <v>30</v>
      </c>
      <c r="B32">
        <v>7</v>
      </c>
      <c r="C32">
        <v>7</v>
      </c>
      <c r="D32">
        <v>9</v>
      </c>
      <c r="E32">
        <v>8.5</v>
      </c>
    </row>
    <row r="33" spans="1:5" x14ac:dyDescent="0.25">
      <c r="A33" t="s">
        <v>5</v>
      </c>
      <c r="B33" t="s">
        <v>8</v>
      </c>
      <c r="C33" t="s">
        <v>8</v>
      </c>
      <c r="D33" t="s">
        <v>8</v>
      </c>
      <c r="E33" t="s">
        <v>8</v>
      </c>
    </row>
    <row r="34" spans="1:5" x14ac:dyDescent="0.25">
      <c r="A34" t="s">
        <v>6</v>
      </c>
      <c r="B34">
        <f>SUM(B3:B33)</f>
        <v>229.5</v>
      </c>
      <c r="C34">
        <f>SUM(C3:C33)</f>
        <v>219.5</v>
      </c>
      <c r="D34">
        <f>SUM(D3:D33)</f>
        <v>212</v>
      </c>
      <c r="E34">
        <f>SUM(E3:E33)</f>
        <v>217.5</v>
      </c>
    </row>
  </sheetData>
  <conditionalFormatting sqref="A1:XFD1">
    <cfRule type="duplicateValues" dxfId="5" priority="1"/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8730B-74C3-4411-8A29-601A9A29502A}">
  <dimension ref="A1:D34"/>
  <sheetViews>
    <sheetView rightToLeft="1" topLeftCell="A10" workbookViewId="0">
      <selection activeCell="D7" sqref="D7"/>
    </sheetView>
  </sheetViews>
  <sheetFormatPr defaultRowHeight="13.8" x14ac:dyDescent="0.25"/>
  <cols>
    <col min="3" max="3" width="12.69921875" bestFit="1" customWidth="1"/>
  </cols>
  <sheetData>
    <row r="1" spans="1:4" x14ac:dyDescent="0.25">
      <c r="A1" t="s">
        <v>0</v>
      </c>
      <c r="B1" t="s">
        <v>199</v>
      </c>
      <c r="C1" t="s">
        <v>134</v>
      </c>
      <c r="D1" t="s">
        <v>242</v>
      </c>
    </row>
    <row r="2" spans="1:4" x14ac:dyDescent="0.25">
      <c r="B2" t="s">
        <v>200</v>
      </c>
      <c r="C2" t="s">
        <v>135</v>
      </c>
      <c r="D2" t="s">
        <v>243</v>
      </c>
    </row>
    <row r="3" spans="1:4" x14ac:dyDescent="0.25">
      <c r="A3">
        <v>1</v>
      </c>
      <c r="C3">
        <v>12</v>
      </c>
      <c r="D3">
        <v>12</v>
      </c>
    </row>
    <row r="4" spans="1:4" x14ac:dyDescent="0.25">
      <c r="A4">
        <v>2</v>
      </c>
      <c r="C4">
        <v>5</v>
      </c>
      <c r="D4">
        <v>5</v>
      </c>
    </row>
    <row r="5" spans="1:4" x14ac:dyDescent="0.25">
      <c r="A5" t="s">
        <v>1</v>
      </c>
      <c r="B5" t="s">
        <v>8</v>
      </c>
      <c r="C5" t="s">
        <v>8</v>
      </c>
      <c r="D5" t="s">
        <v>8</v>
      </c>
    </row>
    <row r="6" spans="1:4" x14ac:dyDescent="0.25">
      <c r="A6">
        <v>4</v>
      </c>
      <c r="C6">
        <v>12</v>
      </c>
      <c r="D6">
        <v>12</v>
      </c>
    </row>
    <row r="7" spans="1:4" x14ac:dyDescent="0.25">
      <c r="A7">
        <v>5</v>
      </c>
      <c r="C7">
        <v>12</v>
      </c>
      <c r="D7" s="1" t="s">
        <v>244</v>
      </c>
    </row>
    <row r="8" spans="1:4" x14ac:dyDescent="0.25">
      <c r="A8">
        <v>6</v>
      </c>
      <c r="B8">
        <v>12</v>
      </c>
      <c r="C8">
        <v>12</v>
      </c>
      <c r="D8" s="1" t="s">
        <v>245</v>
      </c>
    </row>
    <row r="9" spans="1:4" x14ac:dyDescent="0.25">
      <c r="A9">
        <v>7</v>
      </c>
      <c r="B9">
        <v>12</v>
      </c>
      <c r="C9">
        <v>12</v>
      </c>
      <c r="D9" s="1" t="s">
        <v>246</v>
      </c>
    </row>
    <row r="10" spans="1:4" x14ac:dyDescent="0.25">
      <c r="A10">
        <v>8</v>
      </c>
      <c r="B10">
        <v>12</v>
      </c>
      <c r="C10">
        <v>12</v>
      </c>
      <c r="D10" s="1"/>
    </row>
    <row r="11" spans="1:4" x14ac:dyDescent="0.25">
      <c r="A11">
        <v>9</v>
      </c>
      <c r="B11">
        <v>7</v>
      </c>
      <c r="C11">
        <v>7</v>
      </c>
      <c r="D11" s="1"/>
    </row>
    <row r="12" spans="1:4" x14ac:dyDescent="0.25">
      <c r="A12" t="s">
        <v>2</v>
      </c>
      <c r="B12" t="s">
        <v>8</v>
      </c>
      <c r="C12" t="s">
        <v>8</v>
      </c>
      <c r="D12" s="1"/>
    </row>
    <row r="13" spans="1:4" x14ac:dyDescent="0.25">
      <c r="A13">
        <v>11</v>
      </c>
      <c r="B13">
        <v>12</v>
      </c>
      <c r="C13">
        <v>12</v>
      </c>
      <c r="D13" s="1"/>
    </row>
    <row r="14" spans="1:4" x14ac:dyDescent="0.25">
      <c r="A14">
        <v>12</v>
      </c>
      <c r="B14">
        <v>12</v>
      </c>
      <c r="C14">
        <v>12</v>
      </c>
      <c r="D14" s="1"/>
    </row>
    <row r="15" spans="1:4" x14ac:dyDescent="0.25">
      <c r="A15">
        <v>13</v>
      </c>
      <c r="B15">
        <v>12</v>
      </c>
      <c r="C15">
        <v>12</v>
      </c>
      <c r="D15" s="1"/>
    </row>
    <row r="16" spans="1:4" x14ac:dyDescent="0.25">
      <c r="A16">
        <v>14</v>
      </c>
      <c r="B16">
        <v>12</v>
      </c>
      <c r="C16">
        <v>12</v>
      </c>
      <c r="D16" s="1"/>
    </row>
    <row r="17" spans="1:4" x14ac:dyDescent="0.25">
      <c r="A17">
        <v>15</v>
      </c>
      <c r="B17">
        <v>12</v>
      </c>
      <c r="C17">
        <v>12</v>
      </c>
      <c r="D17" s="1"/>
    </row>
    <row r="18" spans="1:4" x14ac:dyDescent="0.25">
      <c r="A18">
        <v>16</v>
      </c>
      <c r="B18">
        <v>7</v>
      </c>
      <c r="C18">
        <v>7</v>
      </c>
      <c r="D18" s="1"/>
    </row>
    <row r="19" spans="1:4" x14ac:dyDescent="0.25">
      <c r="A19" t="s">
        <v>3</v>
      </c>
      <c r="B19" t="s">
        <v>8</v>
      </c>
      <c r="C19" t="s">
        <v>8</v>
      </c>
      <c r="D19" s="1"/>
    </row>
    <row r="20" spans="1:4" x14ac:dyDescent="0.25">
      <c r="A20">
        <v>18</v>
      </c>
      <c r="B20">
        <v>12</v>
      </c>
      <c r="C20">
        <v>12</v>
      </c>
      <c r="D20" s="1"/>
    </row>
    <row r="21" spans="1:4" x14ac:dyDescent="0.25">
      <c r="A21">
        <v>19</v>
      </c>
      <c r="B21">
        <v>12</v>
      </c>
      <c r="C21">
        <v>12</v>
      </c>
      <c r="D21" s="1"/>
    </row>
    <row r="22" spans="1:4" x14ac:dyDescent="0.25">
      <c r="A22">
        <v>20</v>
      </c>
      <c r="B22">
        <v>12</v>
      </c>
      <c r="C22">
        <v>12</v>
      </c>
      <c r="D22" s="1"/>
    </row>
    <row r="23" spans="1:4" x14ac:dyDescent="0.25">
      <c r="A23">
        <v>21</v>
      </c>
      <c r="B23">
        <v>12</v>
      </c>
      <c r="C23">
        <v>12</v>
      </c>
      <c r="D23" s="1"/>
    </row>
    <row r="24" spans="1:4" x14ac:dyDescent="0.25">
      <c r="A24">
        <v>22</v>
      </c>
      <c r="B24">
        <v>12</v>
      </c>
      <c r="C24">
        <v>12</v>
      </c>
      <c r="D24" s="1"/>
    </row>
    <row r="25" spans="1:4" x14ac:dyDescent="0.25">
      <c r="A25">
        <v>23</v>
      </c>
      <c r="D25" s="1"/>
    </row>
    <row r="26" spans="1:4" x14ac:dyDescent="0.25">
      <c r="A26" t="s">
        <v>4</v>
      </c>
      <c r="B26" t="s">
        <v>8</v>
      </c>
      <c r="C26" t="s">
        <v>8</v>
      </c>
      <c r="D26" s="1"/>
    </row>
    <row r="27" spans="1:4" x14ac:dyDescent="0.25">
      <c r="A27">
        <v>25</v>
      </c>
      <c r="D27" s="1"/>
    </row>
    <row r="28" spans="1:4" x14ac:dyDescent="0.25">
      <c r="A28">
        <v>26</v>
      </c>
      <c r="D28" s="1"/>
    </row>
    <row r="29" spans="1:4" x14ac:dyDescent="0.25">
      <c r="A29">
        <v>27</v>
      </c>
      <c r="D29" s="1"/>
    </row>
    <row r="30" spans="1:4" x14ac:dyDescent="0.25">
      <c r="A30">
        <v>28</v>
      </c>
      <c r="D30" s="1"/>
    </row>
    <row r="31" spans="1:4" x14ac:dyDescent="0.25">
      <c r="A31">
        <v>29</v>
      </c>
      <c r="D31" s="1"/>
    </row>
    <row r="32" spans="1:4" x14ac:dyDescent="0.25">
      <c r="A32">
        <v>30</v>
      </c>
      <c r="D32" s="1"/>
    </row>
    <row r="33" spans="1:4" x14ac:dyDescent="0.25">
      <c r="A33" t="s">
        <v>5</v>
      </c>
      <c r="B33" t="s">
        <v>8</v>
      </c>
      <c r="C33" t="s">
        <v>8</v>
      </c>
      <c r="D33" s="1"/>
    </row>
    <row r="34" spans="1:4" x14ac:dyDescent="0.25">
      <c r="A34" t="s">
        <v>6</v>
      </c>
      <c r="B34">
        <f>SUM(B3:B33)</f>
        <v>170</v>
      </c>
      <c r="C34">
        <f>SUM(C3:C33)</f>
        <v>211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C4134-B62B-4D5B-9137-A6597F66C74E}">
  <sheetPr>
    <tabColor theme="6" tint="0.79998168889431442"/>
  </sheetPr>
  <dimension ref="A1:C34"/>
  <sheetViews>
    <sheetView rightToLeft="1" topLeftCell="A16" workbookViewId="0">
      <selection activeCell="B1" sqref="B1"/>
    </sheetView>
  </sheetViews>
  <sheetFormatPr defaultRowHeight="13.8" x14ac:dyDescent="0.25"/>
  <sheetData>
    <row r="1" spans="1:3" x14ac:dyDescent="0.25">
      <c r="A1" t="s">
        <v>0</v>
      </c>
      <c r="B1" t="s">
        <v>240</v>
      </c>
      <c r="C1" t="s">
        <v>266</v>
      </c>
    </row>
    <row r="2" spans="1:3" x14ac:dyDescent="0.25">
      <c r="B2" t="s">
        <v>241</v>
      </c>
      <c r="C2" t="s">
        <v>40</v>
      </c>
    </row>
    <row r="3" spans="1:3" x14ac:dyDescent="0.25">
      <c r="A3">
        <v>1</v>
      </c>
      <c r="B3">
        <v>10</v>
      </c>
    </row>
    <row r="4" spans="1:3" x14ac:dyDescent="0.25">
      <c r="A4">
        <v>2</v>
      </c>
      <c r="B4">
        <v>7.5000000000000018</v>
      </c>
    </row>
    <row r="5" spans="1:3" x14ac:dyDescent="0.25">
      <c r="A5" t="s">
        <v>1</v>
      </c>
      <c r="B5" t="s">
        <v>8</v>
      </c>
    </row>
    <row r="6" spans="1:3" x14ac:dyDescent="0.25">
      <c r="A6">
        <v>4</v>
      </c>
      <c r="B6" s="11">
        <v>8.3333333333333321</v>
      </c>
    </row>
    <row r="7" spans="1:3" x14ac:dyDescent="0.25">
      <c r="A7">
        <v>5</v>
      </c>
      <c r="B7">
        <v>7.7499999999999991</v>
      </c>
    </row>
    <row r="8" spans="1:3" x14ac:dyDescent="0.25">
      <c r="A8">
        <v>6</v>
      </c>
      <c r="B8">
        <v>10</v>
      </c>
    </row>
    <row r="9" spans="1:3" x14ac:dyDescent="0.25">
      <c r="A9">
        <v>7</v>
      </c>
      <c r="B9">
        <v>9</v>
      </c>
    </row>
    <row r="10" spans="1:3" x14ac:dyDescent="0.25">
      <c r="A10">
        <v>8</v>
      </c>
      <c r="B10">
        <v>10</v>
      </c>
    </row>
    <row r="11" spans="1:3" x14ac:dyDescent="0.25">
      <c r="A11">
        <v>9</v>
      </c>
      <c r="B11" t="s">
        <v>41</v>
      </c>
    </row>
    <row r="12" spans="1:3" x14ac:dyDescent="0.25">
      <c r="A12" t="s">
        <v>2</v>
      </c>
      <c r="B12" t="s">
        <v>8</v>
      </c>
    </row>
    <row r="13" spans="1:3" x14ac:dyDescent="0.25">
      <c r="A13">
        <v>11</v>
      </c>
      <c r="B13">
        <v>9.5</v>
      </c>
    </row>
    <row r="14" spans="1:3" x14ac:dyDescent="0.25">
      <c r="A14">
        <v>12</v>
      </c>
      <c r="B14">
        <v>8</v>
      </c>
    </row>
    <row r="15" spans="1:3" x14ac:dyDescent="0.25">
      <c r="A15">
        <v>13</v>
      </c>
      <c r="B15">
        <v>9</v>
      </c>
    </row>
    <row r="16" spans="1:3" x14ac:dyDescent="0.25">
      <c r="A16">
        <v>14</v>
      </c>
      <c r="B16">
        <v>10</v>
      </c>
    </row>
    <row r="17" spans="1:2" x14ac:dyDescent="0.25">
      <c r="A17">
        <v>15</v>
      </c>
      <c r="B17">
        <v>10</v>
      </c>
    </row>
    <row r="18" spans="1:2" x14ac:dyDescent="0.25">
      <c r="A18">
        <v>16</v>
      </c>
      <c r="B18">
        <v>5</v>
      </c>
    </row>
    <row r="19" spans="1:2" x14ac:dyDescent="0.25">
      <c r="A19" t="s">
        <v>3</v>
      </c>
      <c r="B19" t="s">
        <v>8</v>
      </c>
    </row>
    <row r="20" spans="1:2" x14ac:dyDescent="0.25">
      <c r="A20">
        <v>18</v>
      </c>
      <c r="B20">
        <v>10</v>
      </c>
    </row>
    <row r="21" spans="1:2" x14ac:dyDescent="0.25">
      <c r="A21">
        <v>19</v>
      </c>
      <c r="B21">
        <v>10</v>
      </c>
    </row>
    <row r="22" spans="1:2" x14ac:dyDescent="0.25">
      <c r="A22">
        <v>20</v>
      </c>
      <c r="B22">
        <v>10</v>
      </c>
    </row>
    <row r="23" spans="1:2" x14ac:dyDescent="0.25">
      <c r="A23">
        <v>21</v>
      </c>
      <c r="B23">
        <v>10</v>
      </c>
    </row>
    <row r="24" spans="1:2" x14ac:dyDescent="0.25">
      <c r="A24">
        <v>22</v>
      </c>
      <c r="B24" t="s">
        <v>41</v>
      </c>
    </row>
    <row r="25" spans="1:2" x14ac:dyDescent="0.25">
      <c r="A25">
        <v>23</v>
      </c>
      <c r="B25" t="s">
        <v>41</v>
      </c>
    </row>
    <row r="26" spans="1:2" x14ac:dyDescent="0.25">
      <c r="A26" t="s">
        <v>4</v>
      </c>
      <c r="B26" t="s">
        <v>8</v>
      </c>
    </row>
    <row r="27" spans="1:2" x14ac:dyDescent="0.25">
      <c r="A27">
        <v>25</v>
      </c>
      <c r="B27" t="s">
        <v>41</v>
      </c>
    </row>
    <row r="28" spans="1:2" x14ac:dyDescent="0.25">
      <c r="A28">
        <v>26</v>
      </c>
      <c r="B28">
        <v>10</v>
      </c>
    </row>
    <row r="29" spans="1:2" x14ac:dyDescent="0.25">
      <c r="A29">
        <v>27</v>
      </c>
      <c r="B29">
        <v>6.5</v>
      </c>
    </row>
    <row r="30" spans="1:2" x14ac:dyDescent="0.25">
      <c r="A30">
        <v>28</v>
      </c>
      <c r="B30">
        <v>7.4999999999999982</v>
      </c>
    </row>
    <row r="31" spans="1:2" x14ac:dyDescent="0.25">
      <c r="A31">
        <v>29</v>
      </c>
      <c r="B31">
        <v>10</v>
      </c>
    </row>
    <row r="32" spans="1:2" x14ac:dyDescent="0.25">
      <c r="A32">
        <v>30</v>
      </c>
      <c r="B32">
        <v>5</v>
      </c>
    </row>
    <row r="33" spans="1:3" x14ac:dyDescent="0.25">
      <c r="A33" t="s">
        <v>5</v>
      </c>
      <c r="B33" t="s">
        <v>8</v>
      </c>
    </row>
    <row r="34" spans="1:3" x14ac:dyDescent="0.25">
      <c r="A34" t="s">
        <v>6</v>
      </c>
      <c r="B34" s="11">
        <f>SUM(B3:B33)</f>
        <v>193.08333333333331</v>
      </c>
      <c r="C34">
        <v>183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C9BB3-C762-4422-86D4-BD5D2598A81B}">
  <dimension ref="A1:G34"/>
  <sheetViews>
    <sheetView rightToLeft="1" topLeftCell="A19" workbookViewId="0">
      <selection activeCell="G15" sqref="G15"/>
    </sheetView>
  </sheetViews>
  <sheetFormatPr defaultRowHeight="13.8" x14ac:dyDescent="0.25"/>
  <sheetData>
    <row r="1" spans="1:7" x14ac:dyDescent="0.25">
      <c r="A1" t="s">
        <v>0</v>
      </c>
      <c r="B1" t="s">
        <v>242</v>
      </c>
      <c r="C1" t="s">
        <v>248</v>
      </c>
      <c r="D1" t="s">
        <v>249</v>
      </c>
      <c r="E1" t="s">
        <v>250</v>
      </c>
      <c r="F1" t="s">
        <v>253</v>
      </c>
      <c r="G1" t="s">
        <v>255</v>
      </c>
    </row>
    <row r="2" spans="1:7" x14ac:dyDescent="0.25">
      <c r="B2" t="s">
        <v>243</v>
      </c>
      <c r="C2" t="s">
        <v>179</v>
      </c>
      <c r="D2" t="s">
        <v>186</v>
      </c>
      <c r="E2" t="s">
        <v>251</v>
      </c>
      <c r="F2" t="s">
        <v>254</v>
      </c>
      <c r="G2" t="s">
        <v>256</v>
      </c>
    </row>
    <row r="3" spans="1:7" x14ac:dyDescent="0.25">
      <c r="A3">
        <v>1</v>
      </c>
      <c r="B3" s="1" t="s">
        <v>247</v>
      </c>
    </row>
    <row r="4" spans="1:7" x14ac:dyDescent="0.25">
      <c r="A4">
        <v>2</v>
      </c>
      <c r="B4" s="1"/>
    </row>
    <row r="5" spans="1:7" x14ac:dyDescent="0.25">
      <c r="A5" t="s">
        <v>1</v>
      </c>
      <c r="B5" s="1" t="s">
        <v>8</v>
      </c>
    </row>
    <row r="6" spans="1:7" x14ac:dyDescent="0.25">
      <c r="A6">
        <v>4</v>
      </c>
      <c r="B6" s="1"/>
    </row>
    <row r="7" spans="1:7" x14ac:dyDescent="0.25">
      <c r="A7">
        <v>5</v>
      </c>
      <c r="E7" s="1" t="s">
        <v>252</v>
      </c>
      <c r="F7" s="1" t="s">
        <v>252</v>
      </c>
    </row>
    <row r="8" spans="1:7" x14ac:dyDescent="0.25">
      <c r="A8">
        <v>6</v>
      </c>
      <c r="E8" s="1"/>
      <c r="F8" s="1"/>
    </row>
    <row r="9" spans="1:7" x14ac:dyDescent="0.25">
      <c r="A9">
        <v>7</v>
      </c>
      <c r="E9" s="1"/>
      <c r="F9" s="1"/>
    </row>
    <row r="10" spans="1:7" x14ac:dyDescent="0.25">
      <c r="A10">
        <v>8</v>
      </c>
    </row>
    <row r="11" spans="1:7" x14ac:dyDescent="0.25">
      <c r="A11">
        <v>9</v>
      </c>
    </row>
    <row r="12" spans="1:7" x14ac:dyDescent="0.25">
      <c r="A12" t="s">
        <v>2</v>
      </c>
    </row>
    <row r="13" spans="1:7" x14ac:dyDescent="0.25">
      <c r="A13">
        <v>11</v>
      </c>
    </row>
    <row r="14" spans="1:7" x14ac:dyDescent="0.25">
      <c r="A14">
        <v>12</v>
      </c>
    </row>
    <row r="15" spans="1:7" x14ac:dyDescent="0.25">
      <c r="A15">
        <v>13</v>
      </c>
      <c r="B15">
        <v>10</v>
      </c>
      <c r="C15">
        <v>10</v>
      </c>
      <c r="D15">
        <v>10</v>
      </c>
      <c r="E15">
        <v>10</v>
      </c>
      <c r="F15">
        <v>10</v>
      </c>
      <c r="G15">
        <v>10</v>
      </c>
    </row>
    <row r="16" spans="1:7" x14ac:dyDescent="0.25">
      <c r="A16">
        <v>14</v>
      </c>
      <c r="B16">
        <v>10</v>
      </c>
      <c r="C16">
        <v>10</v>
      </c>
      <c r="D16">
        <v>10</v>
      </c>
      <c r="E16">
        <v>10</v>
      </c>
      <c r="F16">
        <v>10</v>
      </c>
      <c r="G16">
        <v>10</v>
      </c>
    </row>
    <row r="17" spans="1:7" x14ac:dyDescent="0.25">
      <c r="A17">
        <v>15</v>
      </c>
      <c r="B17">
        <v>10</v>
      </c>
      <c r="C17">
        <v>10</v>
      </c>
      <c r="D17">
        <v>10</v>
      </c>
      <c r="E17">
        <v>10</v>
      </c>
      <c r="F17">
        <v>10</v>
      </c>
      <c r="G17">
        <v>10</v>
      </c>
    </row>
    <row r="18" spans="1:7" x14ac:dyDescent="0.25">
      <c r="A18">
        <v>16</v>
      </c>
      <c r="B18">
        <v>7</v>
      </c>
      <c r="C18">
        <v>7</v>
      </c>
      <c r="D18">
        <v>7</v>
      </c>
      <c r="E18">
        <v>7</v>
      </c>
      <c r="F18">
        <v>7</v>
      </c>
      <c r="G18">
        <v>7</v>
      </c>
    </row>
    <row r="19" spans="1:7" x14ac:dyDescent="0.25">
      <c r="A19" t="s">
        <v>3</v>
      </c>
      <c r="B19" t="s">
        <v>8</v>
      </c>
      <c r="C19" t="s">
        <v>8</v>
      </c>
      <c r="D19" t="s">
        <v>8</v>
      </c>
      <c r="E19" t="s">
        <v>8</v>
      </c>
      <c r="F19" t="s">
        <v>8</v>
      </c>
      <c r="G19" t="s">
        <v>8</v>
      </c>
    </row>
    <row r="20" spans="1:7" x14ac:dyDescent="0.25">
      <c r="A20">
        <v>18</v>
      </c>
      <c r="B20">
        <v>10</v>
      </c>
      <c r="C20">
        <v>10</v>
      </c>
      <c r="D20">
        <v>10</v>
      </c>
      <c r="E20">
        <v>10</v>
      </c>
      <c r="F20">
        <v>10</v>
      </c>
      <c r="G20">
        <v>10</v>
      </c>
    </row>
    <row r="21" spans="1:7" x14ac:dyDescent="0.25">
      <c r="A21">
        <v>19</v>
      </c>
      <c r="B21">
        <v>10</v>
      </c>
      <c r="C21">
        <v>10</v>
      </c>
      <c r="D21">
        <v>10</v>
      </c>
      <c r="E21">
        <v>10</v>
      </c>
      <c r="F21">
        <v>10</v>
      </c>
      <c r="G21">
        <v>10</v>
      </c>
    </row>
    <row r="22" spans="1:7" x14ac:dyDescent="0.25">
      <c r="A22">
        <v>20</v>
      </c>
      <c r="B22">
        <v>10</v>
      </c>
      <c r="C22">
        <v>10</v>
      </c>
      <c r="D22">
        <v>10</v>
      </c>
      <c r="E22">
        <v>10</v>
      </c>
      <c r="F22">
        <v>10</v>
      </c>
      <c r="G22" t="s">
        <v>41</v>
      </c>
    </row>
    <row r="23" spans="1:7" x14ac:dyDescent="0.25">
      <c r="A23">
        <v>21</v>
      </c>
      <c r="B23">
        <v>10</v>
      </c>
      <c r="C23">
        <v>10</v>
      </c>
      <c r="D23">
        <v>10</v>
      </c>
      <c r="E23">
        <v>10</v>
      </c>
      <c r="F23">
        <v>10</v>
      </c>
      <c r="G23" t="s">
        <v>41</v>
      </c>
    </row>
    <row r="24" spans="1:7" x14ac:dyDescent="0.25">
      <c r="A24">
        <v>22</v>
      </c>
      <c r="B24">
        <v>10.5</v>
      </c>
      <c r="C24">
        <v>10.5</v>
      </c>
      <c r="D24">
        <v>10.5</v>
      </c>
      <c r="E24">
        <v>10.5</v>
      </c>
      <c r="F24">
        <v>10.5</v>
      </c>
      <c r="G24">
        <v>10.5</v>
      </c>
    </row>
    <row r="25" spans="1:7" x14ac:dyDescent="0.25">
      <c r="A25">
        <v>23</v>
      </c>
    </row>
    <row r="26" spans="1:7" x14ac:dyDescent="0.25">
      <c r="A26" t="s">
        <v>4</v>
      </c>
      <c r="B26" t="s">
        <v>8</v>
      </c>
      <c r="C26" t="s">
        <v>8</v>
      </c>
      <c r="D26" t="s">
        <v>8</v>
      </c>
      <c r="E26" t="s">
        <v>8</v>
      </c>
      <c r="F26" t="s">
        <v>8</v>
      </c>
      <c r="G26" t="s">
        <v>8</v>
      </c>
    </row>
    <row r="27" spans="1:7" x14ac:dyDescent="0.25">
      <c r="A27">
        <v>25</v>
      </c>
      <c r="B27">
        <v>10</v>
      </c>
      <c r="C27">
        <v>10</v>
      </c>
      <c r="D27">
        <v>10</v>
      </c>
      <c r="E27">
        <v>10</v>
      </c>
      <c r="F27">
        <v>10</v>
      </c>
      <c r="G27">
        <v>10</v>
      </c>
    </row>
    <row r="28" spans="1:7" x14ac:dyDescent="0.25">
      <c r="A28">
        <v>26</v>
      </c>
      <c r="B28">
        <v>10</v>
      </c>
      <c r="C28">
        <v>10</v>
      </c>
      <c r="D28">
        <v>10</v>
      </c>
      <c r="E28">
        <v>10</v>
      </c>
      <c r="F28">
        <v>10</v>
      </c>
      <c r="G28">
        <v>10</v>
      </c>
    </row>
    <row r="29" spans="1:7" x14ac:dyDescent="0.25">
      <c r="A29">
        <v>27</v>
      </c>
      <c r="B29">
        <v>10</v>
      </c>
      <c r="C29">
        <v>10</v>
      </c>
      <c r="D29">
        <v>10</v>
      </c>
      <c r="E29">
        <v>10</v>
      </c>
      <c r="F29">
        <v>10</v>
      </c>
      <c r="G29">
        <v>10</v>
      </c>
    </row>
    <row r="30" spans="1:7" x14ac:dyDescent="0.25">
      <c r="A30">
        <v>28</v>
      </c>
      <c r="B30">
        <v>10</v>
      </c>
      <c r="C30">
        <v>10</v>
      </c>
      <c r="D30">
        <v>10</v>
      </c>
      <c r="E30">
        <v>10</v>
      </c>
      <c r="F30">
        <v>10</v>
      </c>
      <c r="G30">
        <v>10</v>
      </c>
    </row>
    <row r="31" spans="1:7" x14ac:dyDescent="0.25">
      <c r="A31">
        <v>29</v>
      </c>
      <c r="B31">
        <v>10</v>
      </c>
      <c r="C31">
        <v>10</v>
      </c>
      <c r="D31">
        <v>10</v>
      </c>
      <c r="E31">
        <v>10</v>
      </c>
      <c r="F31">
        <v>10</v>
      </c>
      <c r="G31">
        <v>10</v>
      </c>
    </row>
    <row r="32" spans="1:7" x14ac:dyDescent="0.25">
      <c r="A32">
        <v>30</v>
      </c>
      <c r="B32">
        <v>7</v>
      </c>
      <c r="C32">
        <v>7</v>
      </c>
      <c r="D32">
        <v>7</v>
      </c>
      <c r="E32">
        <v>7</v>
      </c>
      <c r="F32">
        <v>7</v>
      </c>
      <c r="G32">
        <v>7</v>
      </c>
    </row>
    <row r="33" spans="1:7" x14ac:dyDescent="0.25">
      <c r="A33" t="s">
        <v>5</v>
      </c>
      <c r="B33" t="s">
        <v>8</v>
      </c>
      <c r="C33" t="s">
        <v>8</v>
      </c>
      <c r="D33" t="s">
        <v>8</v>
      </c>
      <c r="E33" t="s">
        <v>8</v>
      </c>
      <c r="F33" t="s">
        <v>8</v>
      </c>
      <c r="G33" t="s">
        <v>8</v>
      </c>
    </row>
    <row r="34" spans="1:7" x14ac:dyDescent="0.25">
      <c r="A34" t="s">
        <v>6</v>
      </c>
      <c r="B34">
        <f t="shared" ref="B34:G34" si="0">SUM(B3:B33)</f>
        <v>144.5</v>
      </c>
      <c r="C34">
        <f t="shared" si="0"/>
        <v>144.5</v>
      </c>
      <c r="D34">
        <f t="shared" si="0"/>
        <v>144.5</v>
      </c>
      <c r="E34">
        <f t="shared" si="0"/>
        <v>144.5</v>
      </c>
      <c r="F34">
        <f t="shared" si="0"/>
        <v>144.5</v>
      </c>
      <c r="G34">
        <f t="shared" si="0"/>
        <v>124.5</v>
      </c>
    </row>
  </sheetData>
  <conditionalFormatting sqref="A1:XFD1">
    <cfRule type="duplicateValues" dxfId="4" priority="1"/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DA4D4-95DE-4ABB-BBBD-43F380459228}">
  <sheetPr>
    <tabColor theme="6" tint="0.79998168889431442"/>
  </sheetPr>
  <dimension ref="A1:C34"/>
  <sheetViews>
    <sheetView rightToLeft="1" topLeftCell="A13" workbookViewId="0">
      <selection activeCell="B1" sqref="B1"/>
    </sheetView>
  </sheetViews>
  <sheetFormatPr defaultRowHeight="13.8" x14ac:dyDescent="0.25"/>
  <cols>
    <col min="3" max="3" width="15.19921875" bestFit="1" customWidth="1"/>
  </cols>
  <sheetData>
    <row r="1" spans="1:2" x14ac:dyDescent="0.25">
      <c r="A1" t="s">
        <v>0</v>
      </c>
      <c r="B1" t="s">
        <v>272</v>
      </c>
    </row>
    <row r="2" spans="1:2" x14ac:dyDescent="0.25">
      <c r="B2" t="s">
        <v>271</v>
      </c>
    </row>
    <row r="3" spans="1:2" x14ac:dyDescent="0.25">
      <c r="A3">
        <v>1</v>
      </c>
      <c r="B3">
        <v>10</v>
      </c>
    </row>
    <row r="4" spans="1:2" x14ac:dyDescent="0.25">
      <c r="A4">
        <v>2</v>
      </c>
      <c r="B4">
        <v>6</v>
      </c>
    </row>
    <row r="5" spans="1:2" x14ac:dyDescent="0.25">
      <c r="A5" t="s">
        <v>1</v>
      </c>
      <c r="B5" t="s">
        <v>8</v>
      </c>
    </row>
    <row r="6" spans="1:2" x14ac:dyDescent="0.25">
      <c r="A6">
        <v>4</v>
      </c>
      <c r="B6">
        <v>10</v>
      </c>
    </row>
    <row r="7" spans="1:2" x14ac:dyDescent="0.25">
      <c r="A7">
        <v>5</v>
      </c>
      <c r="B7">
        <v>10</v>
      </c>
    </row>
    <row r="8" spans="1:2" x14ac:dyDescent="0.25">
      <c r="A8">
        <v>6</v>
      </c>
      <c r="B8">
        <v>10</v>
      </c>
    </row>
    <row r="9" spans="1:2" x14ac:dyDescent="0.25">
      <c r="A9">
        <v>7</v>
      </c>
      <c r="B9">
        <v>10</v>
      </c>
    </row>
    <row r="10" spans="1:2" x14ac:dyDescent="0.25">
      <c r="A10">
        <v>8</v>
      </c>
      <c r="B10">
        <v>10</v>
      </c>
    </row>
    <row r="11" spans="1:2" x14ac:dyDescent="0.25">
      <c r="A11">
        <v>9</v>
      </c>
      <c r="B11">
        <v>6</v>
      </c>
    </row>
    <row r="12" spans="1:2" x14ac:dyDescent="0.25">
      <c r="A12" t="s">
        <v>2</v>
      </c>
      <c r="B12" t="s">
        <v>8</v>
      </c>
    </row>
    <row r="13" spans="1:2" x14ac:dyDescent="0.25">
      <c r="A13">
        <v>11</v>
      </c>
      <c r="B13">
        <v>10</v>
      </c>
    </row>
    <row r="14" spans="1:2" x14ac:dyDescent="0.25">
      <c r="A14">
        <v>12</v>
      </c>
      <c r="B14">
        <v>10</v>
      </c>
    </row>
    <row r="15" spans="1:2" x14ac:dyDescent="0.25">
      <c r="A15">
        <v>13</v>
      </c>
      <c r="B15">
        <v>10</v>
      </c>
    </row>
    <row r="16" spans="1:2" x14ac:dyDescent="0.25">
      <c r="A16">
        <v>14</v>
      </c>
      <c r="B16">
        <v>10</v>
      </c>
    </row>
    <row r="17" spans="1:2" x14ac:dyDescent="0.25">
      <c r="A17">
        <v>15</v>
      </c>
      <c r="B17">
        <v>10</v>
      </c>
    </row>
    <row r="18" spans="1:2" x14ac:dyDescent="0.25">
      <c r="A18">
        <v>16</v>
      </c>
      <c r="B18">
        <v>6</v>
      </c>
    </row>
    <row r="19" spans="1:2" x14ac:dyDescent="0.25">
      <c r="A19" t="s">
        <v>3</v>
      </c>
      <c r="B19" t="s">
        <v>8</v>
      </c>
    </row>
    <row r="20" spans="1:2" x14ac:dyDescent="0.25">
      <c r="A20">
        <v>18</v>
      </c>
      <c r="B20">
        <v>10</v>
      </c>
    </row>
    <row r="21" spans="1:2" x14ac:dyDescent="0.25">
      <c r="A21">
        <v>19</v>
      </c>
      <c r="B21">
        <v>10</v>
      </c>
    </row>
    <row r="22" spans="1:2" x14ac:dyDescent="0.25">
      <c r="A22">
        <v>20</v>
      </c>
      <c r="B22">
        <v>10</v>
      </c>
    </row>
    <row r="23" spans="1:2" x14ac:dyDescent="0.25">
      <c r="A23">
        <v>21</v>
      </c>
      <c r="B23">
        <v>10</v>
      </c>
    </row>
    <row r="24" spans="1:2" x14ac:dyDescent="0.25">
      <c r="A24">
        <v>22</v>
      </c>
      <c r="B24">
        <v>10</v>
      </c>
    </row>
    <row r="25" spans="1:2" x14ac:dyDescent="0.25">
      <c r="A25">
        <v>23</v>
      </c>
      <c r="B25">
        <v>6</v>
      </c>
    </row>
    <row r="26" spans="1:2" x14ac:dyDescent="0.25">
      <c r="A26" t="s">
        <v>4</v>
      </c>
      <c r="B26" t="s">
        <v>8</v>
      </c>
    </row>
    <row r="27" spans="1:2" x14ac:dyDescent="0.25">
      <c r="A27">
        <v>25</v>
      </c>
      <c r="B27">
        <v>10</v>
      </c>
    </row>
    <row r="28" spans="1:2" x14ac:dyDescent="0.25">
      <c r="A28">
        <v>26</v>
      </c>
      <c r="B28">
        <v>10</v>
      </c>
    </row>
    <row r="29" spans="1:2" x14ac:dyDescent="0.25">
      <c r="A29">
        <v>27</v>
      </c>
      <c r="B29">
        <v>10</v>
      </c>
    </row>
    <row r="30" spans="1:2" x14ac:dyDescent="0.25">
      <c r="A30">
        <v>28</v>
      </c>
      <c r="B30">
        <v>10</v>
      </c>
    </row>
    <row r="31" spans="1:2" x14ac:dyDescent="0.25">
      <c r="A31">
        <v>29</v>
      </c>
    </row>
    <row r="32" spans="1:2" x14ac:dyDescent="0.25">
      <c r="A32">
        <v>30</v>
      </c>
      <c r="B32">
        <v>6</v>
      </c>
    </row>
    <row r="33" spans="1:3" x14ac:dyDescent="0.25">
      <c r="A33" t="s">
        <v>5</v>
      </c>
      <c r="B33" t="s">
        <v>8</v>
      </c>
      <c r="C33" s="13" t="s">
        <v>259</v>
      </c>
    </row>
    <row r="34" spans="1:3" x14ac:dyDescent="0.25">
      <c r="A34" s="14" t="s">
        <v>6</v>
      </c>
      <c r="B34">
        <f>SUM(B3:B33)</f>
        <v>230</v>
      </c>
      <c r="C34" s="13">
        <f>SUM(B34)</f>
        <v>230</v>
      </c>
    </row>
  </sheetData>
  <conditionalFormatting sqref="A1">
    <cfRule type="duplicateValues" dxfId="3" priority="1"/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88FAA-2C14-473A-8668-F4037C03F99A}">
  <dimension ref="A1:G34"/>
  <sheetViews>
    <sheetView rightToLeft="1" workbookViewId="0">
      <selection activeCell="J35" sqref="J35"/>
    </sheetView>
  </sheetViews>
  <sheetFormatPr defaultRowHeight="13.8" x14ac:dyDescent="0.25"/>
  <cols>
    <col min="7" max="7" width="15.19921875" bestFit="1" customWidth="1"/>
  </cols>
  <sheetData>
    <row r="1" spans="1:6" x14ac:dyDescent="0.25">
      <c r="A1" t="s">
        <v>0</v>
      </c>
      <c r="B1" t="s">
        <v>106</v>
      </c>
      <c r="C1" t="s">
        <v>260</v>
      </c>
      <c r="D1" t="s">
        <v>261</v>
      </c>
      <c r="E1" t="s">
        <v>199</v>
      </c>
      <c r="F1" t="s">
        <v>262</v>
      </c>
    </row>
    <row r="2" spans="1:6" x14ac:dyDescent="0.25">
      <c r="B2" t="s">
        <v>263</v>
      </c>
      <c r="C2" t="s">
        <v>264</v>
      </c>
      <c r="D2" t="s">
        <v>265</v>
      </c>
      <c r="E2" t="s">
        <v>200</v>
      </c>
      <c r="F2" t="s">
        <v>50</v>
      </c>
    </row>
    <row r="3" spans="1:6" x14ac:dyDescent="0.25">
      <c r="A3">
        <v>1</v>
      </c>
      <c r="B3" s="1" t="s">
        <v>141</v>
      </c>
    </row>
    <row r="4" spans="1:6" x14ac:dyDescent="0.25">
      <c r="A4">
        <v>2</v>
      </c>
      <c r="B4" s="1"/>
    </row>
    <row r="5" spans="1:6" x14ac:dyDescent="0.25">
      <c r="A5" t="s">
        <v>1</v>
      </c>
      <c r="B5" s="1"/>
    </row>
    <row r="6" spans="1:6" x14ac:dyDescent="0.25">
      <c r="A6">
        <v>4</v>
      </c>
      <c r="B6" s="1"/>
    </row>
    <row r="7" spans="1:6" x14ac:dyDescent="0.25">
      <c r="A7">
        <v>5</v>
      </c>
      <c r="B7" s="1"/>
    </row>
    <row r="8" spans="1:6" x14ac:dyDescent="0.25">
      <c r="A8">
        <v>6</v>
      </c>
      <c r="B8" s="1"/>
      <c r="E8" s="1" t="s">
        <v>247</v>
      </c>
    </row>
    <row r="9" spans="1:6" x14ac:dyDescent="0.25">
      <c r="A9">
        <v>7</v>
      </c>
      <c r="B9" s="1"/>
      <c r="E9" s="1"/>
    </row>
    <row r="10" spans="1:6" x14ac:dyDescent="0.25">
      <c r="A10">
        <v>8</v>
      </c>
      <c r="B10" s="1"/>
      <c r="E10" s="1"/>
    </row>
    <row r="11" spans="1:6" x14ac:dyDescent="0.25">
      <c r="A11">
        <v>9</v>
      </c>
      <c r="B11" s="1"/>
      <c r="E11" s="1"/>
    </row>
    <row r="12" spans="1:6" x14ac:dyDescent="0.25">
      <c r="A12" t="s">
        <v>2</v>
      </c>
      <c r="B12" s="1"/>
      <c r="E12" s="1"/>
    </row>
    <row r="13" spans="1:6" x14ac:dyDescent="0.25">
      <c r="A13">
        <v>11</v>
      </c>
      <c r="B13" s="1"/>
      <c r="E13" s="1"/>
    </row>
    <row r="14" spans="1:6" x14ac:dyDescent="0.25">
      <c r="A14">
        <v>12</v>
      </c>
      <c r="B14" s="1"/>
      <c r="E14" s="1"/>
    </row>
    <row r="15" spans="1:6" x14ac:dyDescent="0.25">
      <c r="A15">
        <v>13</v>
      </c>
      <c r="B15" s="1"/>
      <c r="E15" s="1"/>
    </row>
    <row r="16" spans="1:6" x14ac:dyDescent="0.25">
      <c r="A16">
        <v>14</v>
      </c>
      <c r="B16" s="1"/>
      <c r="E16" s="1"/>
    </row>
    <row r="17" spans="1:6" x14ac:dyDescent="0.25">
      <c r="A17">
        <v>15</v>
      </c>
      <c r="B17" s="1"/>
      <c r="E17" s="1"/>
      <c r="F17">
        <v>2</v>
      </c>
    </row>
    <row r="18" spans="1:6" x14ac:dyDescent="0.25">
      <c r="A18">
        <v>16</v>
      </c>
      <c r="B18" s="1"/>
      <c r="E18" s="1"/>
    </row>
    <row r="19" spans="1:6" x14ac:dyDescent="0.25">
      <c r="A19" t="s">
        <v>3</v>
      </c>
      <c r="E19" s="1"/>
      <c r="F19" t="s">
        <v>8</v>
      </c>
    </row>
    <row r="20" spans="1:6" x14ac:dyDescent="0.25">
      <c r="A20">
        <v>18</v>
      </c>
      <c r="E20" s="1"/>
      <c r="F20">
        <v>11.5</v>
      </c>
    </row>
    <row r="21" spans="1:6" x14ac:dyDescent="0.25">
      <c r="A21">
        <v>19</v>
      </c>
      <c r="E21" s="1"/>
      <c r="F21">
        <v>11.5</v>
      </c>
    </row>
    <row r="22" spans="1:6" x14ac:dyDescent="0.25">
      <c r="A22">
        <v>20</v>
      </c>
      <c r="C22">
        <v>11.5</v>
      </c>
      <c r="D22">
        <v>11.5</v>
      </c>
      <c r="E22" s="1"/>
      <c r="F22">
        <v>11.5</v>
      </c>
    </row>
    <row r="23" spans="1:6" x14ac:dyDescent="0.25">
      <c r="A23">
        <v>21</v>
      </c>
      <c r="C23">
        <v>11</v>
      </c>
      <c r="D23">
        <v>11</v>
      </c>
      <c r="E23" s="1"/>
      <c r="F23">
        <v>11.5</v>
      </c>
    </row>
    <row r="24" spans="1:6" x14ac:dyDescent="0.25">
      <c r="A24">
        <v>22</v>
      </c>
      <c r="C24">
        <v>11</v>
      </c>
      <c r="D24">
        <v>11</v>
      </c>
      <c r="E24" s="1"/>
      <c r="F24">
        <v>11.5</v>
      </c>
    </row>
    <row r="25" spans="1:6" x14ac:dyDescent="0.25">
      <c r="A25">
        <v>23</v>
      </c>
      <c r="C25">
        <v>7</v>
      </c>
      <c r="D25">
        <v>7</v>
      </c>
      <c r="F25">
        <v>7</v>
      </c>
    </row>
    <row r="26" spans="1:6" x14ac:dyDescent="0.25">
      <c r="A26" t="s">
        <v>4</v>
      </c>
      <c r="C26" t="s">
        <v>8</v>
      </c>
      <c r="D26" t="s">
        <v>8</v>
      </c>
      <c r="F26" t="s">
        <v>8</v>
      </c>
    </row>
    <row r="27" spans="1:6" x14ac:dyDescent="0.25">
      <c r="A27">
        <v>25</v>
      </c>
      <c r="C27" t="s">
        <v>41</v>
      </c>
      <c r="D27" t="s">
        <v>41</v>
      </c>
      <c r="F27">
        <v>11.5</v>
      </c>
    </row>
    <row r="28" spans="1:6" x14ac:dyDescent="0.25">
      <c r="A28">
        <v>26</v>
      </c>
      <c r="C28" t="s">
        <v>41</v>
      </c>
      <c r="D28" t="s">
        <v>41</v>
      </c>
      <c r="F28">
        <v>11</v>
      </c>
    </row>
    <row r="29" spans="1:6" x14ac:dyDescent="0.25">
      <c r="A29">
        <v>27</v>
      </c>
      <c r="C29" t="s">
        <v>41</v>
      </c>
      <c r="D29" t="s">
        <v>41</v>
      </c>
      <c r="F29">
        <v>11</v>
      </c>
    </row>
    <row r="30" spans="1:6" x14ac:dyDescent="0.25">
      <c r="A30">
        <v>28</v>
      </c>
      <c r="C30">
        <v>11</v>
      </c>
      <c r="D30">
        <v>11</v>
      </c>
      <c r="F30">
        <v>11</v>
      </c>
    </row>
    <row r="31" spans="1:6" x14ac:dyDescent="0.25">
      <c r="A31">
        <v>29</v>
      </c>
      <c r="B31">
        <v>11</v>
      </c>
      <c r="C31">
        <v>11</v>
      </c>
      <c r="D31">
        <v>11</v>
      </c>
      <c r="F31">
        <v>11</v>
      </c>
    </row>
    <row r="32" spans="1:6" x14ac:dyDescent="0.25">
      <c r="A32">
        <v>30</v>
      </c>
      <c r="B32">
        <v>7</v>
      </c>
      <c r="C32">
        <v>7</v>
      </c>
      <c r="D32">
        <v>7</v>
      </c>
      <c r="E32">
        <v>7</v>
      </c>
      <c r="F32">
        <v>7</v>
      </c>
    </row>
    <row r="33" spans="1:7" x14ac:dyDescent="0.25">
      <c r="A33" t="s">
        <v>5</v>
      </c>
      <c r="B33" t="s">
        <v>8</v>
      </c>
      <c r="C33" t="s">
        <v>8</v>
      </c>
      <c r="D33" t="s">
        <v>8</v>
      </c>
      <c r="E33" t="s">
        <v>8</v>
      </c>
      <c r="F33" t="s">
        <v>8</v>
      </c>
      <c r="G33" s="15" t="s">
        <v>259</v>
      </c>
    </row>
    <row r="34" spans="1:7" x14ac:dyDescent="0.25">
      <c r="A34" s="14" t="s">
        <v>6</v>
      </c>
      <c r="B34" s="14">
        <f>SUM(B3:B33)</f>
        <v>18</v>
      </c>
      <c r="C34" s="14">
        <f>SUM(C3:C33)</f>
        <v>69.5</v>
      </c>
      <c r="D34" s="14">
        <f>SUM(D3:D33)</f>
        <v>69.5</v>
      </c>
      <c r="E34" s="14">
        <f>SUM(E3:E33)</f>
        <v>7</v>
      </c>
      <c r="F34" s="14">
        <f>SUM(F3:F33)</f>
        <v>129</v>
      </c>
      <c r="G34" s="15">
        <f>SUM(B34:F34)</f>
        <v>293</v>
      </c>
    </row>
  </sheetData>
  <conditionalFormatting sqref="A1">
    <cfRule type="duplicateValues" dxfId="2" priority="1"/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676E8-BDAB-41EA-AE2F-29EA2FB37577}">
  <sheetPr>
    <tabColor theme="6" tint="0.79998168889431442"/>
  </sheetPr>
  <dimension ref="A1:G38"/>
  <sheetViews>
    <sheetView rightToLeft="1" topLeftCell="A16" workbookViewId="0">
      <selection activeCell="E1" sqref="E1"/>
    </sheetView>
  </sheetViews>
  <sheetFormatPr defaultRowHeight="13.8" x14ac:dyDescent="0.25"/>
  <cols>
    <col min="6" max="6" width="15.19921875" bestFit="1" customWidth="1"/>
    <col min="7" max="7" width="12" bestFit="1" customWidth="1"/>
  </cols>
  <sheetData>
    <row r="1" spans="1:5" x14ac:dyDescent="0.25">
      <c r="A1" t="s">
        <v>0</v>
      </c>
      <c r="B1" t="s">
        <v>196</v>
      </c>
      <c r="C1" t="s">
        <v>198</v>
      </c>
      <c r="D1" t="s">
        <v>215</v>
      </c>
      <c r="E1" s="8" t="s">
        <v>234</v>
      </c>
    </row>
    <row r="2" spans="1:5" x14ac:dyDescent="0.25">
      <c r="B2" t="s">
        <v>197</v>
      </c>
      <c r="C2" t="s">
        <v>64</v>
      </c>
      <c r="D2" t="s">
        <v>216</v>
      </c>
      <c r="E2" t="s">
        <v>181</v>
      </c>
    </row>
    <row r="3" spans="1:5" x14ac:dyDescent="0.25">
      <c r="A3">
        <v>1</v>
      </c>
      <c r="B3">
        <v>10</v>
      </c>
      <c r="C3">
        <v>10</v>
      </c>
      <c r="D3">
        <v>10</v>
      </c>
      <c r="E3">
        <v>10</v>
      </c>
    </row>
    <row r="4" spans="1:5" x14ac:dyDescent="0.25">
      <c r="A4">
        <v>2</v>
      </c>
      <c r="B4">
        <v>4.5</v>
      </c>
      <c r="C4">
        <v>4.5</v>
      </c>
      <c r="D4">
        <v>4.5</v>
      </c>
      <c r="E4">
        <v>4.5</v>
      </c>
    </row>
    <row r="5" spans="1:5" x14ac:dyDescent="0.25">
      <c r="A5" t="s">
        <v>1</v>
      </c>
      <c r="B5" t="s">
        <v>8</v>
      </c>
      <c r="C5" t="s">
        <v>8</v>
      </c>
      <c r="D5" t="s">
        <v>8</v>
      </c>
      <c r="E5" t="s">
        <v>8</v>
      </c>
    </row>
    <row r="6" spans="1:5" x14ac:dyDescent="0.25">
      <c r="A6">
        <v>4</v>
      </c>
      <c r="B6">
        <v>9</v>
      </c>
      <c r="C6">
        <v>9</v>
      </c>
      <c r="D6">
        <v>9</v>
      </c>
      <c r="E6">
        <v>9</v>
      </c>
    </row>
    <row r="7" spans="1:5" x14ac:dyDescent="0.25">
      <c r="A7">
        <v>5</v>
      </c>
      <c r="B7">
        <v>9</v>
      </c>
      <c r="C7">
        <v>9</v>
      </c>
      <c r="D7">
        <v>9</v>
      </c>
      <c r="E7">
        <v>9</v>
      </c>
    </row>
    <row r="8" spans="1:5" x14ac:dyDescent="0.25">
      <c r="A8">
        <v>6</v>
      </c>
      <c r="B8">
        <v>9</v>
      </c>
      <c r="C8">
        <v>9</v>
      </c>
      <c r="D8">
        <v>9</v>
      </c>
      <c r="E8">
        <v>9</v>
      </c>
    </row>
    <row r="9" spans="1:5" x14ac:dyDescent="0.25">
      <c r="A9">
        <v>7</v>
      </c>
      <c r="B9">
        <v>10</v>
      </c>
      <c r="C9">
        <v>10</v>
      </c>
      <c r="D9">
        <v>9</v>
      </c>
      <c r="E9">
        <v>9</v>
      </c>
    </row>
    <row r="10" spans="1:5" x14ac:dyDescent="0.25">
      <c r="A10">
        <v>8</v>
      </c>
      <c r="B10">
        <v>10</v>
      </c>
      <c r="C10">
        <v>10</v>
      </c>
      <c r="D10">
        <v>9</v>
      </c>
      <c r="E10">
        <v>9</v>
      </c>
    </row>
    <row r="11" spans="1:5" x14ac:dyDescent="0.25">
      <c r="A11">
        <v>9</v>
      </c>
      <c r="B11">
        <v>7</v>
      </c>
      <c r="C11">
        <v>7</v>
      </c>
      <c r="D11">
        <v>7</v>
      </c>
      <c r="E11">
        <v>7</v>
      </c>
    </row>
    <row r="12" spans="1:5" x14ac:dyDescent="0.25">
      <c r="A12" t="s">
        <v>2</v>
      </c>
      <c r="B12" t="s">
        <v>8</v>
      </c>
      <c r="C12" t="s">
        <v>8</v>
      </c>
      <c r="D12" t="s">
        <v>8</v>
      </c>
      <c r="E12" t="s">
        <v>8</v>
      </c>
    </row>
    <row r="13" spans="1:5" x14ac:dyDescent="0.25">
      <c r="A13">
        <v>11</v>
      </c>
      <c r="B13">
        <v>10</v>
      </c>
      <c r="C13">
        <v>10</v>
      </c>
      <c r="D13">
        <v>9</v>
      </c>
      <c r="E13">
        <v>9</v>
      </c>
    </row>
    <row r="14" spans="1:5" x14ac:dyDescent="0.25">
      <c r="A14">
        <v>12</v>
      </c>
      <c r="B14">
        <v>10</v>
      </c>
      <c r="C14">
        <v>10</v>
      </c>
      <c r="D14">
        <v>9</v>
      </c>
      <c r="E14">
        <v>9</v>
      </c>
    </row>
    <row r="15" spans="1:5" x14ac:dyDescent="0.25">
      <c r="A15">
        <v>13</v>
      </c>
      <c r="B15" t="s">
        <v>41</v>
      </c>
      <c r="C15" t="s">
        <v>41</v>
      </c>
      <c r="D15">
        <v>7.5</v>
      </c>
      <c r="E15">
        <v>7.5</v>
      </c>
    </row>
    <row r="16" spans="1:5" x14ac:dyDescent="0.25">
      <c r="A16">
        <v>14</v>
      </c>
      <c r="B16">
        <v>10</v>
      </c>
      <c r="C16">
        <v>10</v>
      </c>
      <c r="D16" t="s">
        <v>41</v>
      </c>
      <c r="E16">
        <v>9</v>
      </c>
    </row>
    <row r="17" spans="1:5" x14ac:dyDescent="0.25">
      <c r="A17">
        <v>15</v>
      </c>
      <c r="B17">
        <v>10</v>
      </c>
      <c r="C17">
        <v>10</v>
      </c>
      <c r="D17">
        <v>9</v>
      </c>
      <c r="E17">
        <v>9</v>
      </c>
    </row>
    <row r="18" spans="1:5" x14ac:dyDescent="0.25">
      <c r="A18">
        <v>16</v>
      </c>
      <c r="B18">
        <v>7</v>
      </c>
      <c r="C18">
        <v>7</v>
      </c>
      <c r="D18">
        <v>5</v>
      </c>
      <c r="E18">
        <v>5</v>
      </c>
    </row>
    <row r="19" spans="1:5" x14ac:dyDescent="0.25">
      <c r="A19" t="s">
        <v>3</v>
      </c>
      <c r="B19" t="s">
        <v>8</v>
      </c>
      <c r="C19" t="s">
        <v>8</v>
      </c>
      <c r="D19">
        <v>9</v>
      </c>
      <c r="E19">
        <v>9</v>
      </c>
    </row>
    <row r="20" spans="1:5" x14ac:dyDescent="0.25">
      <c r="A20">
        <v>18</v>
      </c>
      <c r="B20">
        <v>10</v>
      </c>
      <c r="C20">
        <v>10</v>
      </c>
      <c r="D20">
        <v>9</v>
      </c>
      <c r="E20">
        <v>9</v>
      </c>
    </row>
    <row r="21" spans="1:5" x14ac:dyDescent="0.25">
      <c r="A21">
        <v>19</v>
      </c>
      <c r="B21">
        <v>10</v>
      </c>
      <c r="C21">
        <v>10</v>
      </c>
      <c r="D21">
        <v>9</v>
      </c>
      <c r="E21">
        <v>9</v>
      </c>
    </row>
    <row r="22" spans="1:5" x14ac:dyDescent="0.25">
      <c r="A22">
        <v>20</v>
      </c>
      <c r="B22">
        <v>10</v>
      </c>
      <c r="C22">
        <v>10</v>
      </c>
      <c r="D22">
        <v>9</v>
      </c>
      <c r="E22">
        <v>9</v>
      </c>
    </row>
    <row r="23" spans="1:5" x14ac:dyDescent="0.25">
      <c r="A23">
        <v>21</v>
      </c>
      <c r="B23">
        <v>10</v>
      </c>
      <c r="C23">
        <v>10</v>
      </c>
      <c r="D23">
        <v>10</v>
      </c>
      <c r="E23">
        <v>9.5</v>
      </c>
    </row>
    <row r="24" spans="1:5" x14ac:dyDescent="0.25">
      <c r="A24">
        <v>22</v>
      </c>
      <c r="B24">
        <v>10</v>
      </c>
      <c r="C24">
        <v>10</v>
      </c>
      <c r="D24">
        <v>9</v>
      </c>
      <c r="E24">
        <v>8.5</v>
      </c>
    </row>
    <row r="25" spans="1:5" x14ac:dyDescent="0.25">
      <c r="A25">
        <v>23</v>
      </c>
      <c r="B25">
        <v>7</v>
      </c>
      <c r="C25">
        <v>7</v>
      </c>
      <c r="D25">
        <v>7</v>
      </c>
      <c r="E25">
        <v>6.5</v>
      </c>
    </row>
    <row r="26" spans="1:5" x14ac:dyDescent="0.25">
      <c r="A26" t="s">
        <v>4</v>
      </c>
      <c r="B26" t="s">
        <v>8</v>
      </c>
      <c r="C26" t="s">
        <v>8</v>
      </c>
      <c r="D26" t="s">
        <v>8</v>
      </c>
      <c r="E26" t="s">
        <v>8</v>
      </c>
    </row>
    <row r="27" spans="1:5" x14ac:dyDescent="0.25">
      <c r="A27">
        <v>25</v>
      </c>
      <c r="B27">
        <v>10</v>
      </c>
      <c r="C27" t="s">
        <v>41</v>
      </c>
      <c r="D27">
        <v>9</v>
      </c>
      <c r="E27">
        <v>8.5</v>
      </c>
    </row>
    <row r="28" spans="1:5" x14ac:dyDescent="0.25">
      <c r="A28">
        <v>26</v>
      </c>
      <c r="B28">
        <v>10</v>
      </c>
      <c r="C28">
        <v>10</v>
      </c>
      <c r="D28">
        <v>9</v>
      </c>
      <c r="E28">
        <v>8.5</v>
      </c>
    </row>
    <row r="29" spans="1:5" x14ac:dyDescent="0.25">
      <c r="A29">
        <v>27</v>
      </c>
      <c r="B29">
        <v>10</v>
      </c>
      <c r="C29">
        <v>10</v>
      </c>
      <c r="D29">
        <v>9</v>
      </c>
      <c r="E29">
        <v>8.5</v>
      </c>
    </row>
    <row r="30" spans="1:5" x14ac:dyDescent="0.25">
      <c r="A30">
        <v>28</v>
      </c>
      <c r="B30">
        <v>10</v>
      </c>
      <c r="C30">
        <v>10</v>
      </c>
      <c r="D30">
        <v>8.5</v>
      </c>
      <c r="E30">
        <v>8.5</v>
      </c>
    </row>
    <row r="31" spans="1:5" x14ac:dyDescent="0.25">
      <c r="A31">
        <v>29</v>
      </c>
      <c r="B31">
        <v>10</v>
      </c>
      <c r="C31">
        <v>10</v>
      </c>
      <c r="E31">
        <v>8.5</v>
      </c>
    </row>
    <row r="32" spans="1:5" x14ac:dyDescent="0.25">
      <c r="A32">
        <v>30</v>
      </c>
      <c r="B32">
        <v>7</v>
      </c>
      <c r="C32">
        <v>7</v>
      </c>
      <c r="D32">
        <v>8.5</v>
      </c>
      <c r="E32">
        <v>8.5</v>
      </c>
    </row>
    <row r="33" spans="1:7" x14ac:dyDescent="0.25">
      <c r="A33" t="s">
        <v>5</v>
      </c>
      <c r="B33" t="s">
        <v>8</v>
      </c>
      <c r="C33" t="s">
        <v>8</v>
      </c>
      <c r="D33">
        <v>9</v>
      </c>
      <c r="E33">
        <v>9</v>
      </c>
      <c r="F33" s="13" t="s">
        <v>259</v>
      </c>
    </row>
    <row r="34" spans="1:7" x14ac:dyDescent="0.25">
      <c r="A34" s="14" t="s">
        <v>6</v>
      </c>
      <c r="B34" s="14">
        <f>SUM(B3:B33)</f>
        <v>229.5</v>
      </c>
      <c r="C34" s="14">
        <f>SUM(C3:C33)</f>
        <v>219.5</v>
      </c>
      <c r="D34" s="14">
        <f>SUM(D3:D33)</f>
        <v>221</v>
      </c>
      <c r="E34" s="14">
        <f>SUM(E3:E33)</f>
        <v>235.5</v>
      </c>
      <c r="F34" s="13">
        <f>SUM(B34:E34)</f>
        <v>905.5</v>
      </c>
    </row>
    <row r="36" spans="1:7" x14ac:dyDescent="0.25">
      <c r="F36" s="16" t="s">
        <v>267</v>
      </c>
      <c r="G36" s="16" t="s">
        <v>268</v>
      </c>
    </row>
    <row r="37" spans="1:7" x14ac:dyDescent="0.25">
      <c r="F37" s="16">
        <f>F34*75</f>
        <v>67912.5</v>
      </c>
      <c r="G37" s="16" t="s">
        <v>269</v>
      </c>
    </row>
    <row r="38" spans="1:7" x14ac:dyDescent="0.25">
      <c r="F38" s="16">
        <f>F37*1.18</f>
        <v>80136.75</v>
      </c>
      <c r="G38" s="16" t="s">
        <v>270</v>
      </c>
    </row>
  </sheetData>
  <conditionalFormatting sqref="A1:XFD1">
    <cfRule type="duplicateValues" dxfId="1" priority="1"/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31303-D3AF-4D55-97C3-AF74A3B236F9}">
  <sheetPr>
    <tabColor theme="6" tint="0.79998168889431442"/>
  </sheetPr>
  <dimension ref="A1:E38"/>
  <sheetViews>
    <sheetView rightToLeft="1" topLeftCell="A10" workbookViewId="0">
      <selection activeCell="C1" sqref="C1"/>
    </sheetView>
  </sheetViews>
  <sheetFormatPr defaultRowHeight="13.8" x14ac:dyDescent="0.25"/>
  <cols>
    <col min="2" max="2" width="10.19921875" bestFit="1" customWidth="1"/>
    <col min="4" max="4" width="15.19921875" bestFit="1" customWidth="1"/>
    <col min="5" max="5" width="12" bestFit="1" customWidth="1"/>
  </cols>
  <sheetData>
    <row r="1" spans="1:3" x14ac:dyDescent="0.25">
      <c r="A1" t="s">
        <v>0</v>
      </c>
      <c r="B1" t="s">
        <v>93</v>
      </c>
      <c r="C1" t="s">
        <v>192</v>
      </c>
    </row>
    <row r="2" spans="1:3" x14ac:dyDescent="0.25">
      <c r="B2" t="s">
        <v>273</v>
      </c>
      <c r="C2" t="s">
        <v>191</v>
      </c>
    </row>
    <row r="3" spans="1:3" x14ac:dyDescent="0.25">
      <c r="A3">
        <v>1</v>
      </c>
      <c r="B3">
        <v>11</v>
      </c>
      <c r="C3">
        <v>11</v>
      </c>
    </row>
    <row r="4" spans="1:3" x14ac:dyDescent="0.25">
      <c r="A4">
        <v>2</v>
      </c>
      <c r="B4">
        <v>5</v>
      </c>
      <c r="C4">
        <v>5</v>
      </c>
    </row>
    <row r="5" spans="1:3" x14ac:dyDescent="0.25">
      <c r="A5" t="s">
        <v>1</v>
      </c>
      <c r="B5" t="s">
        <v>8</v>
      </c>
      <c r="C5" t="s">
        <v>8</v>
      </c>
    </row>
    <row r="6" spans="1:3" x14ac:dyDescent="0.25">
      <c r="A6">
        <v>4</v>
      </c>
      <c r="B6">
        <v>11</v>
      </c>
      <c r="C6">
        <v>11</v>
      </c>
    </row>
    <row r="7" spans="1:3" x14ac:dyDescent="0.25">
      <c r="A7">
        <v>5</v>
      </c>
      <c r="B7">
        <v>11</v>
      </c>
      <c r="C7">
        <v>11</v>
      </c>
    </row>
    <row r="8" spans="1:3" x14ac:dyDescent="0.25">
      <c r="A8">
        <v>6</v>
      </c>
      <c r="B8">
        <v>11</v>
      </c>
      <c r="C8">
        <v>11</v>
      </c>
    </row>
    <row r="9" spans="1:3" x14ac:dyDescent="0.25">
      <c r="A9">
        <v>7</v>
      </c>
      <c r="B9">
        <v>11</v>
      </c>
      <c r="C9">
        <v>11</v>
      </c>
    </row>
    <row r="10" spans="1:3" x14ac:dyDescent="0.25">
      <c r="A10">
        <v>8</v>
      </c>
      <c r="B10">
        <v>11</v>
      </c>
      <c r="C10">
        <v>11</v>
      </c>
    </row>
    <row r="11" spans="1:3" x14ac:dyDescent="0.25">
      <c r="A11">
        <v>9</v>
      </c>
      <c r="B11">
        <v>5</v>
      </c>
      <c r="C11">
        <v>5</v>
      </c>
    </row>
    <row r="12" spans="1:3" x14ac:dyDescent="0.25">
      <c r="A12" t="s">
        <v>2</v>
      </c>
      <c r="B12" t="s">
        <v>8</v>
      </c>
      <c r="C12" t="s">
        <v>8</v>
      </c>
    </row>
    <row r="13" spans="1:3" x14ac:dyDescent="0.25">
      <c r="A13">
        <v>11</v>
      </c>
      <c r="B13">
        <v>11</v>
      </c>
      <c r="C13">
        <v>11</v>
      </c>
    </row>
    <row r="14" spans="1:3" x14ac:dyDescent="0.25">
      <c r="A14">
        <v>12</v>
      </c>
      <c r="B14" s="1"/>
      <c r="C14" s="1"/>
    </row>
    <row r="15" spans="1:3" x14ac:dyDescent="0.25">
      <c r="A15">
        <v>13</v>
      </c>
      <c r="B15" s="1"/>
      <c r="C15" s="1"/>
    </row>
    <row r="16" spans="1:3" x14ac:dyDescent="0.25">
      <c r="A16">
        <v>14</v>
      </c>
      <c r="B16" s="1"/>
      <c r="C16" s="1"/>
    </row>
    <row r="17" spans="1:3" x14ac:dyDescent="0.25">
      <c r="A17">
        <v>15</v>
      </c>
      <c r="B17" s="1"/>
      <c r="C17" s="1"/>
    </row>
    <row r="18" spans="1:3" x14ac:dyDescent="0.25">
      <c r="A18">
        <v>16</v>
      </c>
      <c r="B18" s="1"/>
      <c r="C18" s="1"/>
    </row>
    <row r="19" spans="1:3" x14ac:dyDescent="0.25">
      <c r="A19" t="s">
        <v>3</v>
      </c>
      <c r="B19" s="1"/>
      <c r="C19" s="1"/>
    </row>
    <row r="20" spans="1:3" x14ac:dyDescent="0.25">
      <c r="A20">
        <v>18</v>
      </c>
      <c r="B20">
        <v>3</v>
      </c>
      <c r="C20" s="1"/>
    </row>
    <row r="21" spans="1:3" x14ac:dyDescent="0.25">
      <c r="A21">
        <v>19</v>
      </c>
      <c r="B21">
        <v>11</v>
      </c>
      <c r="C21" s="1"/>
    </row>
    <row r="22" spans="1:3" x14ac:dyDescent="0.25">
      <c r="A22">
        <v>20</v>
      </c>
      <c r="B22">
        <v>11</v>
      </c>
      <c r="C22">
        <v>11</v>
      </c>
    </row>
    <row r="23" spans="1:3" x14ac:dyDescent="0.25">
      <c r="A23">
        <v>21</v>
      </c>
      <c r="B23">
        <v>11</v>
      </c>
      <c r="C23">
        <v>11</v>
      </c>
    </row>
    <row r="24" spans="1:3" x14ac:dyDescent="0.25">
      <c r="A24">
        <v>22</v>
      </c>
      <c r="B24">
        <v>11</v>
      </c>
      <c r="C24">
        <v>11</v>
      </c>
    </row>
    <row r="25" spans="1:3" x14ac:dyDescent="0.25">
      <c r="A25">
        <v>23</v>
      </c>
      <c r="C25">
        <v>6</v>
      </c>
    </row>
    <row r="26" spans="1:3" x14ac:dyDescent="0.25">
      <c r="A26" t="s">
        <v>4</v>
      </c>
      <c r="B26" t="s">
        <v>8</v>
      </c>
      <c r="C26" t="s">
        <v>8</v>
      </c>
    </row>
    <row r="27" spans="1:3" x14ac:dyDescent="0.25">
      <c r="A27">
        <v>25</v>
      </c>
      <c r="B27">
        <v>11</v>
      </c>
      <c r="C27">
        <v>11</v>
      </c>
    </row>
    <row r="28" spans="1:3" x14ac:dyDescent="0.25">
      <c r="A28">
        <v>26</v>
      </c>
      <c r="B28">
        <v>11</v>
      </c>
      <c r="C28">
        <v>11</v>
      </c>
    </row>
    <row r="29" spans="1:3" x14ac:dyDescent="0.25">
      <c r="A29">
        <v>27</v>
      </c>
      <c r="B29">
        <v>11</v>
      </c>
      <c r="C29">
        <v>11</v>
      </c>
    </row>
    <row r="30" spans="1:3" x14ac:dyDescent="0.25">
      <c r="A30">
        <v>28</v>
      </c>
      <c r="B30">
        <v>11</v>
      </c>
      <c r="C30">
        <v>11</v>
      </c>
    </row>
    <row r="31" spans="1:3" x14ac:dyDescent="0.25">
      <c r="A31">
        <v>29</v>
      </c>
      <c r="B31">
        <v>11</v>
      </c>
      <c r="C31">
        <v>11</v>
      </c>
    </row>
    <row r="32" spans="1:3" x14ac:dyDescent="0.25">
      <c r="A32">
        <v>30</v>
      </c>
      <c r="B32">
        <v>7</v>
      </c>
      <c r="C32">
        <v>6</v>
      </c>
    </row>
    <row r="33" spans="1:5" x14ac:dyDescent="0.25">
      <c r="A33" t="s">
        <v>5</v>
      </c>
      <c r="B33" s="1" t="s">
        <v>8</v>
      </c>
      <c r="C33" t="s">
        <v>8</v>
      </c>
      <c r="D33" s="13" t="s">
        <v>259</v>
      </c>
    </row>
    <row r="34" spans="1:5" x14ac:dyDescent="0.25">
      <c r="A34" s="14" t="s">
        <v>6</v>
      </c>
      <c r="B34" s="14">
        <f>SUM(B3:B33)</f>
        <v>196</v>
      </c>
      <c r="C34" s="14">
        <f>SUM(C3:C33)</f>
        <v>187</v>
      </c>
      <c r="D34" s="13">
        <f>SUM(B34:C34)</f>
        <v>383</v>
      </c>
    </row>
    <row r="36" spans="1:5" x14ac:dyDescent="0.25">
      <c r="D36" s="16" t="s">
        <v>274</v>
      </c>
      <c r="E36" s="16" t="s">
        <v>268</v>
      </c>
    </row>
    <row r="37" spans="1:5" x14ac:dyDescent="0.25">
      <c r="D37" s="16">
        <f>D34*76</f>
        <v>29108</v>
      </c>
      <c r="E37" s="16" t="s">
        <v>269</v>
      </c>
    </row>
    <row r="38" spans="1:5" x14ac:dyDescent="0.25">
      <c r="D38" s="16">
        <f>D37*1.18</f>
        <v>34347.439999999995</v>
      </c>
      <c r="E38" s="16" t="s">
        <v>270</v>
      </c>
    </row>
  </sheetData>
  <conditionalFormatting sqref="A1">
    <cfRule type="duplicateValues" dxfId="0" priority="1"/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B4DE0-682A-470F-80FF-8BF0EA5EAAEF}">
  <dimension ref="A1:G38"/>
  <sheetViews>
    <sheetView rightToLeft="1" topLeftCell="A19" workbookViewId="0">
      <selection activeCell="F35" sqref="F35"/>
    </sheetView>
  </sheetViews>
  <sheetFormatPr defaultRowHeight="13.8" x14ac:dyDescent="0.25"/>
  <cols>
    <col min="6" max="6" width="15.19921875" bestFit="1" customWidth="1"/>
    <col min="7" max="7" width="12" bestFit="1" customWidth="1"/>
  </cols>
  <sheetData>
    <row r="1" spans="1:5" x14ac:dyDescent="0.25">
      <c r="A1" t="s">
        <v>0</v>
      </c>
      <c r="B1" t="s">
        <v>37</v>
      </c>
      <c r="C1" t="s">
        <v>275</v>
      </c>
      <c r="D1" t="s">
        <v>276</v>
      </c>
      <c r="E1" t="s">
        <v>277</v>
      </c>
    </row>
    <row r="2" spans="1:5" x14ac:dyDescent="0.25">
      <c r="B2" t="s">
        <v>38</v>
      </c>
      <c r="C2" t="s">
        <v>42</v>
      </c>
      <c r="D2" t="s">
        <v>76</v>
      </c>
      <c r="E2" t="s">
        <v>64</v>
      </c>
    </row>
    <row r="3" spans="1:5" x14ac:dyDescent="0.25">
      <c r="A3">
        <v>1</v>
      </c>
      <c r="B3" s="1" t="s">
        <v>278</v>
      </c>
    </row>
    <row r="4" spans="1:5" x14ac:dyDescent="0.25">
      <c r="A4">
        <v>2</v>
      </c>
      <c r="B4" s="1"/>
    </row>
    <row r="5" spans="1:5" x14ac:dyDescent="0.25">
      <c r="A5" t="s">
        <v>1</v>
      </c>
      <c r="B5" s="1"/>
    </row>
    <row r="6" spans="1:5" x14ac:dyDescent="0.25">
      <c r="A6">
        <v>4</v>
      </c>
      <c r="B6" s="1"/>
    </row>
    <row r="7" spans="1:5" x14ac:dyDescent="0.25">
      <c r="A7">
        <v>5</v>
      </c>
      <c r="B7" s="1"/>
    </row>
    <row r="8" spans="1:5" x14ac:dyDescent="0.25">
      <c r="A8">
        <v>6</v>
      </c>
      <c r="B8" s="1"/>
    </row>
    <row r="9" spans="1:5" x14ac:dyDescent="0.25">
      <c r="A9">
        <v>7</v>
      </c>
      <c r="B9" s="1"/>
    </row>
    <row r="10" spans="1:5" x14ac:dyDescent="0.25">
      <c r="A10">
        <v>8</v>
      </c>
      <c r="B10" s="1"/>
    </row>
    <row r="11" spans="1:5" x14ac:dyDescent="0.25">
      <c r="A11">
        <v>9</v>
      </c>
      <c r="B11" s="1"/>
    </row>
    <row r="12" spans="1:5" x14ac:dyDescent="0.25">
      <c r="A12" t="s">
        <v>2</v>
      </c>
      <c r="B12" s="1"/>
    </row>
    <row r="13" spans="1:5" x14ac:dyDescent="0.25">
      <c r="A13">
        <v>11</v>
      </c>
      <c r="B13" s="1"/>
    </row>
    <row r="14" spans="1:5" x14ac:dyDescent="0.25">
      <c r="A14">
        <v>12</v>
      </c>
      <c r="B14" s="1"/>
    </row>
    <row r="15" spans="1:5" x14ac:dyDescent="0.25">
      <c r="A15">
        <v>13</v>
      </c>
      <c r="B15" s="1"/>
    </row>
    <row r="16" spans="1:5" x14ac:dyDescent="0.25">
      <c r="A16">
        <v>14</v>
      </c>
      <c r="B16" s="1"/>
    </row>
    <row r="17" spans="1:5" x14ac:dyDescent="0.25">
      <c r="A17">
        <v>15</v>
      </c>
      <c r="B17" s="1"/>
    </row>
    <row r="18" spans="1:5" x14ac:dyDescent="0.25">
      <c r="A18">
        <v>16</v>
      </c>
      <c r="B18" s="1"/>
    </row>
    <row r="19" spans="1:5" x14ac:dyDescent="0.25">
      <c r="A19" t="s">
        <v>3</v>
      </c>
      <c r="B19" t="s">
        <v>8</v>
      </c>
      <c r="C19" t="s">
        <v>8</v>
      </c>
    </row>
    <row r="20" spans="1:5" x14ac:dyDescent="0.25">
      <c r="A20">
        <v>18</v>
      </c>
      <c r="C20">
        <v>11</v>
      </c>
      <c r="D20">
        <v>11</v>
      </c>
      <c r="E20">
        <v>11</v>
      </c>
    </row>
    <row r="21" spans="1:5" x14ac:dyDescent="0.25">
      <c r="A21">
        <v>19</v>
      </c>
      <c r="B21">
        <v>11</v>
      </c>
      <c r="C21">
        <v>11</v>
      </c>
      <c r="D21">
        <v>11</v>
      </c>
      <c r="E21">
        <v>11</v>
      </c>
    </row>
    <row r="22" spans="1:5" x14ac:dyDescent="0.25">
      <c r="A22">
        <v>20</v>
      </c>
      <c r="B22">
        <v>11</v>
      </c>
      <c r="C22">
        <v>11</v>
      </c>
      <c r="D22">
        <v>11</v>
      </c>
      <c r="E22">
        <v>11</v>
      </c>
    </row>
    <row r="23" spans="1:5" x14ac:dyDescent="0.25">
      <c r="A23">
        <v>21</v>
      </c>
      <c r="B23">
        <v>11</v>
      </c>
      <c r="C23">
        <v>11</v>
      </c>
      <c r="D23">
        <v>11</v>
      </c>
      <c r="E23">
        <v>11</v>
      </c>
    </row>
    <row r="24" spans="1:5" x14ac:dyDescent="0.25">
      <c r="A24">
        <v>22</v>
      </c>
      <c r="B24">
        <v>11</v>
      </c>
      <c r="C24">
        <v>11</v>
      </c>
      <c r="D24">
        <v>11</v>
      </c>
      <c r="E24">
        <v>11</v>
      </c>
    </row>
    <row r="25" spans="1:5" x14ac:dyDescent="0.25">
      <c r="A25">
        <v>23</v>
      </c>
    </row>
    <row r="26" spans="1:5" x14ac:dyDescent="0.25">
      <c r="A26" t="s">
        <v>4</v>
      </c>
      <c r="B26" t="s">
        <v>8</v>
      </c>
      <c r="C26" t="s">
        <v>8</v>
      </c>
      <c r="D26" t="s">
        <v>8</v>
      </c>
      <c r="E26" t="s">
        <v>8</v>
      </c>
    </row>
    <row r="27" spans="1:5" x14ac:dyDescent="0.25">
      <c r="A27">
        <v>25</v>
      </c>
      <c r="B27" t="s">
        <v>41</v>
      </c>
      <c r="C27">
        <v>11</v>
      </c>
      <c r="D27">
        <v>11</v>
      </c>
      <c r="E27">
        <v>11</v>
      </c>
    </row>
    <row r="28" spans="1:5" x14ac:dyDescent="0.25">
      <c r="A28">
        <v>26</v>
      </c>
      <c r="B28">
        <v>11</v>
      </c>
      <c r="C28">
        <v>11</v>
      </c>
      <c r="D28">
        <v>11</v>
      </c>
      <c r="E28" t="s">
        <v>41</v>
      </c>
    </row>
    <row r="29" spans="1:5" x14ac:dyDescent="0.25">
      <c r="A29">
        <v>27</v>
      </c>
      <c r="B29">
        <v>11</v>
      </c>
      <c r="C29">
        <v>11</v>
      </c>
      <c r="D29">
        <v>11</v>
      </c>
      <c r="E29">
        <v>11</v>
      </c>
    </row>
    <row r="30" spans="1:5" x14ac:dyDescent="0.25">
      <c r="A30">
        <v>28</v>
      </c>
      <c r="B30">
        <v>11</v>
      </c>
      <c r="C30">
        <v>11</v>
      </c>
      <c r="D30">
        <v>11</v>
      </c>
      <c r="E30">
        <v>11</v>
      </c>
    </row>
    <row r="31" spans="1:5" x14ac:dyDescent="0.25">
      <c r="A31">
        <v>29</v>
      </c>
      <c r="B31">
        <v>11</v>
      </c>
      <c r="C31" s="9">
        <v>11</v>
      </c>
      <c r="D31" s="9">
        <v>11</v>
      </c>
      <c r="E31" s="9">
        <v>11</v>
      </c>
    </row>
    <row r="32" spans="1:5" x14ac:dyDescent="0.25">
      <c r="A32">
        <v>30</v>
      </c>
    </row>
    <row r="33" spans="1:7" x14ac:dyDescent="0.25">
      <c r="A33" t="s">
        <v>5</v>
      </c>
      <c r="B33" t="s">
        <v>8</v>
      </c>
      <c r="C33" t="s">
        <v>8</v>
      </c>
      <c r="D33" t="s">
        <v>8</v>
      </c>
      <c r="E33" t="s">
        <v>8</v>
      </c>
      <c r="F33" s="13" t="s">
        <v>259</v>
      </c>
    </row>
    <row r="34" spans="1:7" x14ac:dyDescent="0.25">
      <c r="A34" s="14" t="s">
        <v>6</v>
      </c>
      <c r="B34" s="14">
        <f>SUM(B3:B33)</f>
        <v>88</v>
      </c>
      <c r="C34" s="14">
        <f>SUM(C3:C33)</f>
        <v>110</v>
      </c>
      <c r="D34" s="14">
        <f>SUM(D3:D33)</f>
        <v>110</v>
      </c>
      <c r="E34" s="14">
        <f>SUM(E3:E33)</f>
        <v>99</v>
      </c>
      <c r="F34" s="13">
        <f>SUM(B34:E34)</f>
        <v>407</v>
      </c>
    </row>
    <row r="36" spans="1:7" x14ac:dyDescent="0.25">
      <c r="F36" s="16" t="s">
        <v>279</v>
      </c>
      <c r="G36" s="16" t="s">
        <v>268</v>
      </c>
    </row>
    <row r="37" spans="1:7" x14ac:dyDescent="0.25">
      <c r="F37" s="16">
        <f>F34*78</f>
        <v>31746</v>
      </c>
      <c r="G37" s="16" t="s">
        <v>269</v>
      </c>
    </row>
    <row r="38" spans="1:7" x14ac:dyDescent="0.25">
      <c r="F38" s="16">
        <f>F37*1.18</f>
        <v>37460.28</v>
      </c>
      <c r="G38" s="16" t="s">
        <v>270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33</vt:i4>
      </vt:variant>
    </vt:vector>
  </HeadingPairs>
  <TitlesOfParts>
    <vt:vector size="33" baseType="lpstr">
      <vt:lpstr>שלו בכר |כפר שמריהו (2)</vt:lpstr>
      <vt:lpstr>שלו בכר | אודים (2)</vt:lpstr>
      <vt:lpstr>שלו בכר |רשפון (2)</vt:lpstr>
      <vt:lpstr>אלונפי</vt:lpstr>
      <vt:lpstr>רימונים | טבעון</vt:lpstr>
      <vt:lpstr>רימונים | תל מונד</vt:lpstr>
      <vt:lpstr>דסניב ונווה בניין</vt:lpstr>
      <vt:lpstr>דודאים</vt:lpstr>
      <vt:lpstr>בראיין טננבאום</vt:lpstr>
      <vt:lpstr>לרום</vt:lpstr>
      <vt:lpstr>יצחקוב אלעד</vt:lpstr>
      <vt:lpstr>יוסף ואזאנה</vt:lpstr>
      <vt:lpstr>שלו בכר | דיזינגוף</vt:lpstr>
      <vt:lpstr>שלו בכר |רשפון</vt:lpstr>
      <vt:lpstr>שלו בכר | אודים</vt:lpstr>
      <vt:lpstr>שלו בכר |כפר שמריהו</vt:lpstr>
      <vt:lpstr>אמיר אוריאלי | גבעת שמואל</vt:lpstr>
      <vt:lpstr>אמיר אוריאלי | בית הבד</vt:lpstr>
      <vt:lpstr>נשמן</vt:lpstr>
      <vt:lpstr>סלע בינוי</vt:lpstr>
      <vt:lpstr>תורגמן</vt:lpstr>
      <vt:lpstr>ברקת</vt:lpstr>
      <vt:lpstr>אלון וישניה</vt:lpstr>
      <vt:lpstr>אל הר</vt:lpstr>
      <vt:lpstr>כוכב עומרי לא מעודכן</vt:lpstr>
      <vt:lpstr>בר ים</vt:lpstr>
      <vt:lpstr>ארגמן</vt:lpstr>
      <vt:lpstr>יצחקוב | בית שמש</vt:lpstr>
      <vt:lpstr>עוגן יזמות | גילי חגג</vt:lpstr>
      <vt:lpstr>פדלון | התשח 2</vt:lpstr>
      <vt:lpstr>כוכב עומרי מעודכן</vt:lpstr>
      <vt:lpstr>אפ אנד דאון</vt:lpstr>
      <vt:lpstr>שלו בכר | דיזינגוף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ניצן מיכאלי</dc:creator>
  <cp:lastModifiedBy>ניצן מיכאלי</cp:lastModifiedBy>
  <dcterms:created xsi:type="dcterms:W3CDTF">2026-02-01T09:37:54Z</dcterms:created>
  <dcterms:modified xsi:type="dcterms:W3CDTF">2026-02-04T12:57:27Z</dcterms:modified>
</cp:coreProperties>
</file>