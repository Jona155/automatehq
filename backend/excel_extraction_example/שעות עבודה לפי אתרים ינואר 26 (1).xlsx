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לו בכר |כפר שמריהו (2)" sheetId="1" r:id="rId4"/>
    <sheet state="visible" name="שלו בכר | אודים (2)" sheetId="2" r:id="rId5"/>
    <sheet state="visible" name="שלו בכר |רשפון (2)" sheetId="3" r:id="rId6"/>
    <sheet state="visible" name="אלונפי" sheetId="4" r:id="rId7"/>
    <sheet state="visible" name="רימונים | טבעון" sheetId="5" r:id="rId8"/>
    <sheet state="visible" name="רימונים | תל מונד" sheetId="6" r:id="rId9"/>
    <sheet state="visible" name="דסניב ונווה בניין" sheetId="7" r:id="rId10"/>
    <sheet state="visible" name="דודאים" sheetId="8" r:id="rId11"/>
    <sheet state="visible" name="בראיין טננבאום" sheetId="9" r:id="rId12"/>
    <sheet state="visible" name="לרום" sheetId="10" r:id="rId13"/>
    <sheet state="visible" name="יצחקוב אלעד" sheetId="11" r:id="rId14"/>
    <sheet state="visible" name="יוסף ואזאנה" sheetId="12" r:id="rId15"/>
    <sheet state="visible" name="שלו בכר | דיזינגוף" sheetId="13" r:id="rId16"/>
    <sheet state="visible" name="שלו בכר |רשפון" sheetId="14" r:id="rId17"/>
    <sheet state="visible" name="שלו בכר | אודים" sheetId="15" r:id="rId18"/>
    <sheet state="visible" name="שלו בכר |כפר שמריהו" sheetId="16" r:id="rId19"/>
    <sheet state="visible" name="אמיר אוריאלי | גבעת שמואל" sheetId="17" r:id="rId20"/>
    <sheet state="visible" name="אמיר אוריאלי | בית הבד" sheetId="18" r:id="rId21"/>
    <sheet state="visible" name="נשמן" sheetId="19" r:id="rId22"/>
    <sheet state="visible" name="סלע בינוי" sheetId="20" r:id="rId23"/>
    <sheet state="visible" name="תורגמן" sheetId="21" r:id="rId24"/>
    <sheet state="visible" name="ברקת" sheetId="22" r:id="rId25"/>
    <sheet state="visible" name="אלון וישניה" sheetId="23" r:id="rId26"/>
    <sheet state="visible" name="אל הר" sheetId="24" r:id="rId27"/>
    <sheet state="visible" name="כוכב עומרי לא מעודכן" sheetId="25" r:id="rId28"/>
    <sheet state="visible" name="בר ים" sheetId="26" r:id="rId29"/>
    <sheet state="visible" name="ארגמן" sheetId="27" r:id="rId30"/>
    <sheet state="visible" name="יצחקוב | בית שמש" sheetId="28" r:id="rId31"/>
    <sheet state="visible" name="עוגן יזמות | גילי חגג" sheetId="29" r:id="rId32"/>
    <sheet state="visible" name="פדלון | התשח 2" sheetId="30" r:id="rId33"/>
    <sheet state="visible" name="כוכב עומרי מעודכן" sheetId="31" r:id="rId34"/>
    <sheet state="visible" name="אפ אנד דאון" sheetId="32" r:id="rId35"/>
    <sheet state="visible" name="שלו בכר | דיזינגוף (2)" sheetId="33" r:id="rId36"/>
  </sheets>
  <definedNames/>
  <calcPr/>
  <extLst>
    <ext uri="GoogleSheetsCustomDataVersion2">
      <go:sheetsCustomData xmlns:go="http://customooxmlschemas.google.com/" r:id="rId37" roundtripDataChecksum="ulyFjfSPwMxY8q3dmwG0mu0jT+v8vJAZudNOM7zSJW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======
ID#AAABvZmBvLs
tc={AA2386A6-E17A-4188-AE8F-40854D0AC738}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יש פער של 10 שעות בין החישוב שלהם (214) למה שרשום באקסל</t>
      </text>
    </comment>
  </commentList>
  <extLst>
    <ext uri="GoogleSheetsCustomDataVersion2">
      <go:sheetsCustomData xmlns:go="http://customooxmlschemas.google.com/" r:id="rId1" roundtripDataSignature="AMtx7mgL5+ijdNdeLyWhktTQB9dVTowa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======
ID#AAABvZmBvMo
tc={770B8A68-9EE3-43F9-BD9D-36AA039E8D64}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בסיכום שעות יוצא לו 214 ובכרטיס רשום 211 ממה להפחית 23 שעות</t>
      </text>
    </comment>
    <comment authorId="0" ref="C34">
      <text>
        <t xml:space="preserve">======
ID#AAABvZmBvMg
tc={1EBFA208-D3F3-4DCD-971F-B1BE1F090EBA}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כנ"ל , רשום בכרטיס 10 שעות פחות בסיכום החודשי + להפחית 9 שעות. ממה להפחית את התשע שעות</t>
      </text>
    </comment>
    <comment authorId="0" ref="G34">
      <text>
        <t xml:space="preserve">======
ID#AAABvZmBvMc
tc={3D8548B2-6B76-4318-B945-79957E8ED62B}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לו בכרטיס 217</t>
      </text>
    </comment>
    <comment authorId="0" ref="L34">
      <text>
        <t xml:space="preserve">======
ID#AAABvZmBvMY
tc={E016B900-F4E5-42D0-A7AD-5B2DF8EA0267}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210</t>
      </text>
    </comment>
    <comment authorId="0" ref="K34">
      <text>
        <t xml:space="preserve">======
ID#AAABvZmBvMU
tc={3123A380-A8A6-4AC3-AE91-0E3037C9EC12}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204</t>
      </text>
    </comment>
    <comment authorId="0" ref="B34">
      <text>
        <t xml:space="preserve">======
ID#AAABvZmBvMQ
tc={4EB7D25D-E945-424A-B048-7B878501D82E}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בסיכום שעות 213 למרות שזה הסיכום שיוצא לי פה, ורשום מינוס שש שעות. האם לעשות מינוס שש שעות ממה שמופיע בכרטיס או מהסכום שיוצא באקסל</t>
      </text>
    </comment>
    <comment authorId="0" ref="M34">
      <text>
        <t xml:space="preserve">======
ID#AAABvZmBvMM
tc={F77EF601-A0B1-42B2-9263-4D8C827DDE2F}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224. בתאריך ה5.1 לא ברור אם עבד 10 שעות או 11 שעות</t>
      </text>
    </comment>
    <comment authorId="0" ref="F34">
      <text>
        <t xml:space="preserve">======
ID#AAABvZmBvMA
tc={1AD92A96-EA9E-418B-B0BD-D2EA57BC9AA3}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מופיע 211</t>
      </text>
    </comment>
    <comment authorId="0" ref="H34">
      <text>
        <t xml:space="preserve">======
ID#AAABvZmBvLw
tc={F3D8985F-C8E9-4FA3-AD10-93094AB45844}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לו בכרטיס 219</t>
      </text>
    </comment>
    <comment authorId="0" ref="O34">
      <text>
        <t xml:space="preserve">======
ID#AAABvZmBvLg
tc={F5E9BD28-9172-4837-B7E1-D3C419D643F9}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רשום לו 207 שעות</t>
      </text>
    </comment>
  </commentList>
  <extLst>
    <ext uri="GoogleSheetsCustomDataVersion2">
      <go:sheetsCustomData xmlns:go="http://customooxmlschemas.google.com/" r:id="rId1" roundtripDataSignature="AMtx7mgRsCtqYJv0igWuA7Df2RnbYT8pQ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ID#AAABvZmBvL4
tc={DE8BB6D4-F6F3-419D-9D83-6F554B47C9A6}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האם להחליף לחופשה?</t>
      </text>
    </comment>
  </commentList>
  <extLst>
    <ext uri="GoogleSheetsCustomDataVersion2">
      <go:sheetsCustomData xmlns:go="http://customooxmlschemas.google.com/" r:id="rId1" roundtripDataSignature="AMtx7mgOXjt8ntTmIF19oPJ028pf6LnBl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======
ID#AAABvZmBvMs
tc={9503AD01-7AE4-4638-8D9D-11DE0DF580FC}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מתלבטת אם לשים לו מחלה או שלא</t>
      </text>
    </comment>
  </commentList>
  <extLst>
    <ext uri="GoogleSheetsCustomDataVersion2">
      <go:sheetsCustomData xmlns:go="http://customooxmlschemas.google.com/" r:id="rId1" roundtripDataSignature="AMtx7mj1DoxcSnPJw7alSGagcuFwp1dou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ID#AAABvZmBvMk
tc={65EC9DE6-FE0B-4BCB-97D6-54EF74EA7052}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יש לו 13.84 ימי חופשה ו12.5 מחלה במידת הצורך להוסיף בסוף החודש</t>
      </text>
    </comment>
  </commentList>
  <extLst>
    <ext uri="GoogleSheetsCustomDataVersion2">
      <go:sheetsCustomData xmlns:go="http://customooxmlschemas.google.com/" r:id="rId1" roundtripDataSignature="AMtx7mj96opzX+i7no+ikq6UxuR5AyABH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ID#AAABvZmBvLo
tc={DCC42995-354D-4307-9614-EC1E7D0EA8F5}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לא ברור לי איפה עבד</t>
      </text>
    </comment>
  </commentList>
  <extLst>
    <ext uri="GoogleSheetsCustomDataVersion2">
      <go:sheetsCustomData xmlns:go="http://customooxmlschemas.google.com/" r:id="rId1" roundtripDataSignature="AMtx7mi+97925f2KK3aWzbEBgcGW/QXd4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2">
      <text>
        <t xml:space="preserve">======
ID#AAABvZmBvME
tc={E3384D54-93B4-4DB0-ADCA-8CF25E7C8E98}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האם להוריד לו את המחלה? עבר 236 שעות</t>
      </text>
    </comment>
    <comment authorId="0" ref="E1">
      <text>
        <t xml:space="preserve">======
ID#AAABvZmBvL0
tc={C86F193D-D5D1-4501-93BC-BB2DC62E9A78}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לא ברור לי איפה עבד</t>
      </text>
    </comment>
  </commentList>
  <extLst>
    <ext uri="GoogleSheetsCustomDataVersion2">
      <go:sheetsCustomData xmlns:go="http://customooxmlschemas.google.com/" r:id="rId1" roundtripDataSignature="AMtx7mi0gjF4tMqdgLL2UXxXfPVxlhZXn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ID#AAABvZmBvMI
tc={FAC3D8CB-3559-4B21-BCDC-C3F93D79D19D}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אין לו ימי מחלה או חופשה בקושי</t>
      </text>
    </comment>
    <comment authorId="0" ref="L23">
      <text>
        <t xml:space="preserve">======
ID#AAABvZmBvL8
tc={85C70ABD-E446-42D0-BDC7-17763774F8C8}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רשום משש וחצי עד 17:30 - אבל רשמו בסיכום 10.5</t>
      </text>
    </comment>
  </commentList>
  <extLst>
    <ext uri="GoogleSheetsCustomDataVersion2">
      <go:sheetsCustomData xmlns:go="http://customooxmlschemas.google.com/" r:id="rId1" roundtripDataSignature="AMtx7mjTBKINDGCUPYS1yPJYCG8kmIUhN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1">
      <text>
        <t xml:space="preserve">======
ID#AAABvZmBvLk
tc={543AD321-4950-48D3-83E9-6A3E8159D606}    (2026-02-14 17:52:34)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שעבד אצל אורי?</t>
      </text>
    </comment>
  </commentList>
  <extLst>
    <ext uri="GoogleSheetsCustomDataVersion2">
      <go:sheetsCustomData xmlns:go="http://customooxmlschemas.google.com/" r:id="rId1" roundtripDataSignature="AMtx7mhBX1rQlTKXQU5VzD/qZu1mgK+fsA=="/>
    </ext>
  </extLst>
</comments>
</file>

<file path=xl/sharedStrings.xml><?xml version="1.0" encoding="utf-8"?>
<sst xmlns="http://schemas.openxmlformats.org/spreadsheetml/2006/main" count="1657" uniqueCount="284">
  <si>
    <t>Day of the month</t>
  </si>
  <si>
    <t>passport_id</t>
  </si>
  <si>
    <t>employee_name</t>
  </si>
  <si>
    <t>total hours</t>
  </si>
  <si>
    <t>3-שבת</t>
  </si>
  <si>
    <t>שבת</t>
  </si>
  <si>
    <t>10-שבת</t>
  </si>
  <si>
    <t>17-שבת</t>
  </si>
  <si>
    <t>24-שבת</t>
  </si>
  <si>
    <t>31-שבת</t>
  </si>
  <si>
    <t>סה"כ שעות לאתר:</t>
  </si>
  <si>
    <t>סה"כ</t>
  </si>
  <si>
    <t>מחיר לשעה</t>
  </si>
  <si>
    <t>מחיר ללא מע"מ</t>
  </si>
  <si>
    <t>מחיר כולל מע"מ</t>
  </si>
  <si>
    <t>יום בחודש</t>
  </si>
  <si>
    <t>N7285831</t>
  </si>
  <si>
    <t>N11064048</t>
  </si>
  <si>
    <t>kumara</t>
  </si>
  <si>
    <t>chaminda</t>
  </si>
  <si>
    <t>חופשה</t>
  </si>
  <si>
    <t>78 ₪</t>
  </si>
  <si>
    <t>P0196981</t>
  </si>
  <si>
    <t>N9964886</t>
  </si>
  <si>
    <t>tharindu</t>
  </si>
  <si>
    <t>shantha</t>
  </si>
  <si>
    <t>מחלה</t>
  </si>
  <si>
    <t>N8375114</t>
  </si>
  <si>
    <t>N8766752</t>
  </si>
  <si>
    <t>P0361911</t>
  </si>
  <si>
    <t>P0141213</t>
  </si>
  <si>
    <t>sudeshe</t>
  </si>
  <si>
    <t>aruna</t>
  </si>
  <si>
    <t>sujuth</t>
  </si>
  <si>
    <t>kelum</t>
  </si>
  <si>
    <t>N9987665</t>
  </si>
  <si>
    <t>N10001485</t>
  </si>
  <si>
    <t>N11535369</t>
  </si>
  <si>
    <t>N11345358</t>
  </si>
  <si>
    <t>N9710180</t>
  </si>
  <si>
    <t>N11188771</t>
  </si>
  <si>
    <t>P0236340</t>
  </si>
  <si>
    <t>dilruk</t>
  </si>
  <si>
    <t>thusita</t>
  </si>
  <si>
    <t>sachitara</t>
  </si>
  <si>
    <t>sumith</t>
  </si>
  <si>
    <t>amila</t>
  </si>
  <si>
    <t>אל</t>
  </si>
  <si>
    <t>הר</t>
  </si>
  <si>
    <t>N10906908</t>
  </si>
  <si>
    <t>P0007210</t>
  </si>
  <si>
    <t>N9355901</t>
  </si>
  <si>
    <t>N9222421</t>
  </si>
  <si>
    <t>N8499564</t>
  </si>
  <si>
    <t>N10472898</t>
  </si>
  <si>
    <t>N10842735</t>
  </si>
  <si>
    <t>N6766216</t>
  </si>
  <si>
    <t>N9357676</t>
  </si>
  <si>
    <t>N9730530</t>
  </si>
  <si>
    <t>P0002585</t>
  </si>
  <si>
    <t>N10894486</t>
  </si>
  <si>
    <t>N7237256</t>
  </si>
  <si>
    <t>N9235913</t>
  </si>
  <si>
    <t>P0019114</t>
  </si>
  <si>
    <t>N11075486</t>
  </si>
  <si>
    <t>P0253492</t>
  </si>
  <si>
    <t>nishantha</t>
  </si>
  <si>
    <t>sujeewa</t>
  </si>
  <si>
    <t>sadun</t>
  </si>
  <si>
    <t>dammika</t>
  </si>
  <si>
    <t>roni</t>
  </si>
  <si>
    <t>sumada</t>
  </si>
  <si>
    <t>asith</t>
  </si>
  <si>
    <t>rumesh</t>
  </si>
  <si>
    <t>manoj</t>
  </si>
  <si>
    <t>ratnasiri</t>
  </si>
  <si>
    <t>janaka</t>
  </si>
  <si>
    <t>ashan</t>
  </si>
  <si>
    <t>mishara</t>
  </si>
  <si>
    <t>wasantha</t>
  </si>
  <si>
    <t>malawi</t>
  </si>
  <si>
    <t>N9261611</t>
  </si>
  <si>
    <t>N11524793</t>
  </si>
  <si>
    <t>N11221205</t>
  </si>
  <si>
    <t>N11085837</t>
  </si>
  <si>
    <t>P0031335</t>
  </si>
  <si>
    <t>N11100858</t>
  </si>
  <si>
    <t>N10740030</t>
  </si>
  <si>
    <t>N10016752</t>
  </si>
  <si>
    <t>N9971322</t>
  </si>
  <si>
    <t>N11364770</t>
  </si>
  <si>
    <t>N11039149</t>
  </si>
  <si>
    <t>N10304613</t>
  </si>
  <si>
    <t>P0057344</t>
  </si>
  <si>
    <t>N10079548</t>
  </si>
  <si>
    <t>N9554899</t>
  </si>
  <si>
    <t>P0216473</t>
  </si>
  <si>
    <t>roshan</t>
  </si>
  <si>
    <t>anura</t>
  </si>
  <si>
    <t>damith</t>
  </si>
  <si>
    <t>indika</t>
  </si>
  <si>
    <t>sandusiri</t>
  </si>
  <si>
    <t>sanjeewa</t>
  </si>
  <si>
    <t>sugath</t>
  </si>
  <si>
    <t>samantha</t>
  </si>
  <si>
    <t>sampath</t>
  </si>
  <si>
    <t>ranga</t>
  </si>
  <si>
    <t>lasantha</t>
  </si>
  <si>
    <t>asanka</t>
  </si>
  <si>
    <t>chamal</t>
  </si>
  <si>
    <t>גשם</t>
  </si>
  <si>
    <t>ויזה בינלאומית</t>
  </si>
  <si>
    <t>N11090460</t>
  </si>
  <si>
    <t>tharuka</t>
  </si>
  <si>
    <t>P0253100</t>
  </si>
  <si>
    <t>P0103862</t>
  </si>
  <si>
    <t>N9798046</t>
  </si>
  <si>
    <t>P0090388</t>
  </si>
  <si>
    <t>jagath</t>
  </si>
  <si>
    <t>sithum</t>
  </si>
  <si>
    <t>N8086087</t>
  </si>
  <si>
    <t>N10055420</t>
  </si>
  <si>
    <t>N8764401</t>
  </si>
  <si>
    <t>N11356602</t>
  </si>
  <si>
    <t>danushka</t>
  </si>
  <si>
    <t>sandun</t>
  </si>
  <si>
    <t>wasanta</t>
  </si>
  <si>
    <t>kapila</t>
  </si>
  <si>
    <t>P0236058</t>
  </si>
  <si>
    <t>N11058903</t>
  </si>
  <si>
    <t>premathilaka</t>
  </si>
  <si>
    <t>אפ אנד דאון- לא נכנס לחישוב השעות שלו ביצחקוב</t>
  </si>
  <si>
    <t>יוסף ואזנה</t>
  </si>
  <si>
    <t>P0719163</t>
  </si>
  <si>
    <t>P0365704</t>
  </si>
  <si>
    <t>udita</t>
  </si>
  <si>
    <t>kamal</t>
  </si>
  <si>
    <t>פרמיה:</t>
  </si>
  <si>
    <t>P0013482</t>
  </si>
  <si>
    <t>manjula</t>
  </si>
  <si>
    <t>גבעת</t>
  </si>
  <si>
    <t>שמואל</t>
  </si>
  <si>
    <t xml:space="preserve">פרמיה: </t>
  </si>
  <si>
    <t>N10214101</t>
  </si>
  <si>
    <t>N9628556</t>
  </si>
  <si>
    <t>N8696840</t>
  </si>
  <si>
    <t>N8496787</t>
  </si>
  <si>
    <t>N11090253</t>
  </si>
  <si>
    <t>P0208056</t>
  </si>
  <si>
    <t>iroshan</t>
  </si>
  <si>
    <t>nirosh</t>
  </si>
  <si>
    <t>dhanushka</t>
  </si>
  <si>
    <t>mahesh</t>
  </si>
  <si>
    <t>dinesh</t>
  </si>
  <si>
    <t>premasiri</t>
  </si>
  <si>
    <t>N9184974</t>
  </si>
  <si>
    <t>N11343014</t>
  </si>
  <si>
    <t>N7761308</t>
  </si>
  <si>
    <t>N10238747</t>
  </si>
  <si>
    <t>N11134553</t>
  </si>
  <si>
    <t>P0196929</t>
  </si>
  <si>
    <t>N8850769</t>
  </si>
  <si>
    <t>N8357232</t>
  </si>
  <si>
    <t>vinod</t>
  </si>
  <si>
    <t>survin</t>
  </si>
  <si>
    <t>nalaka</t>
  </si>
  <si>
    <t>nirmala</t>
  </si>
  <si>
    <t>jeewan</t>
  </si>
  <si>
    <t>saman</t>
  </si>
  <si>
    <t>N9879389</t>
  </si>
  <si>
    <t>N10255469</t>
  </si>
  <si>
    <t>N10451080</t>
  </si>
  <si>
    <t>N9032761</t>
  </si>
  <si>
    <t>suresh</t>
  </si>
  <si>
    <t>ravidu</t>
  </si>
  <si>
    <t>hashan</t>
  </si>
  <si>
    <t>N8383723</t>
  </si>
  <si>
    <t>N10344623</t>
  </si>
  <si>
    <t>N11410318</t>
  </si>
  <si>
    <t>N9876409</t>
  </si>
  <si>
    <t>gayan</t>
  </si>
  <si>
    <t>ajith</t>
  </si>
  <si>
    <t>lal</t>
  </si>
  <si>
    <t>hasanka</t>
  </si>
  <si>
    <t>N10802335</t>
  </si>
  <si>
    <t>N10740013</t>
  </si>
  <si>
    <t>N8582035</t>
  </si>
  <si>
    <t>N10542951</t>
  </si>
  <si>
    <t>P0197382</t>
  </si>
  <si>
    <t>sisara</t>
  </si>
  <si>
    <t>tharnga</t>
  </si>
  <si>
    <t>upul</t>
  </si>
  <si>
    <t xml:space="preserve">חופשת </t>
  </si>
  <si>
    <t>N10175009</t>
  </si>
  <si>
    <t>N10982148</t>
  </si>
  <si>
    <t>indika pradeep</t>
  </si>
  <si>
    <t>sanath</t>
  </si>
  <si>
    <t>בר ים- השעות לא נכנסו לחישוב אצל תורגמן</t>
  </si>
  <si>
    <t>N11469907</t>
  </si>
  <si>
    <t>N11042867</t>
  </si>
  <si>
    <t>P0414715</t>
  </si>
  <si>
    <t>P0186673</t>
  </si>
  <si>
    <t>N10139998</t>
  </si>
  <si>
    <t>N11073357</t>
  </si>
  <si>
    <t>P0019040</t>
  </si>
  <si>
    <t>bennda</t>
  </si>
  <si>
    <t>nishantha kumara</t>
  </si>
  <si>
    <t>ruwan</t>
  </si>
  <si>
    <t>royal</t>
  </si>
  <si>
    <t>dasun</t>
  </si>
  <si>
    <t>רימונים</t>
  </si>
  <si>
    <t>תורגמן</t>
  </si>
  <si>
    <t>תל מונד</t>
  </si>
  <si>
    <t>N11139870</t>
  </si>
  <si>
    <t>N10584189</t>
  </si>
  <si>
    <t>N9682771</t>
  </si>
  <si>
    <t>N11238751</t>
  </si>
  <si>
    <t>N9630047</t>
  </si>
  <si>
    <t>P0414802</t>
  </si>
  <si>
    <t>N10821629</t>
  </si>
  <si>
    <t>N10200651</t>
  </si>
  <si>
    <t>N11125604</t>
  </si>
  <si>
    <t>N11133042</t>
  </si>
  <si>
    <t>N9804987</t>
  </si>
  <si>
    <t>N11473919</t>
  </si>
  <si>
    <t>N11104585</t>
  </si>
  <si>
    <t>idawara</t>
  </si>
  <si>
    <t>sarath</t>
  </si>
  <si>
    <t>sajith</t>
  </si>
  <si>
    <t>heenbada</t>
  </si>
  <si>
    <t>mihiran</t>
  </si>
  <si>
    <t>janapriya</t>
  </si>
  <si>
    <t>dissnaya</t>
  </si>
  <si>
    <t>sagith</t>
  </si>
  <si>
    <t>N10542185</t>
  </si>
  <si>
    <t>N9707975</t>
  </si>
  <si>
    <t>N10507690</t>
  </si>
  <si>
    <t>N10080702</t>
  </si>
  <si>
    <t>jayantha</t>
  </si>
  <si>
    <t>prasad</t>
  </si>
  <si>
    <t>sameeda</t>
  </si>
  <si>
    <t>nishanta kumara</t>
  </si>
  <si>
    <t>טבעון</t>
  </si>
  <si>
    <t>תל</t>
  </si>
  <si>
    <t>מונד</t>
  </si>
  <si>
    <t>אפ אנד דאון? שעות לא נכנסו לחישוב של אל הר</t>
  </si>
  <si>
    <t>ברקת?</t>
  </si>
  <si>
    <t>N8144986</t>
  </si>
  <si>
    <t>P0168042</t>
  </si>
  <si>
    <t>P0401523</t>
  </si>
  <si>
    <t>P0402246</t>
  </si>
  <si>
    <t>bhanuka</t>
  </si>
  <si>
    <t>sujith</t>
  </si>
  <si>
    <t>N7152830</t>
  </si>
  <si>
    <t>N10108178</t>
  </si>
  <si>
    <t>saliya</t>
  </si>
  <si>
    <t>kalu</t>
  </si>
  <si>
    <t>יצחקוב</t>
  </si>
  <si>
    <t xml:space="preserve">בית </t>
  </si>
  <si>
    <t>שמש</t>
  </si>
  <si>
    <t>N10473174</t>
  </si>
  <si>
    <t>N11441655</t>
  </si>
  <si>
    <t>suranga</t>
  </si>
  <si>
    <t>P0089979</t>
  </si>
  <si>
    <t>P0231744</t>
  </si>
  <si>
    <t>N11376847</t>
  </si>
  <si>
    <t>chandra</t>
  </si>
  <si>
    <t>בר ים</t>
  </si>
  <si>
    <t>ברקת</t>
  </si>
  <si>
    <t>N6992227</t>
  </si>
  <si>
    <t>samith</t>
  </si>
  <si>
    <t>N10212407</t>
  </si>
  <si>
    <t>N9790699</t>
  </si>
  <si>
    <t>P818288</t>
  </si>
  <si>
    <t>pushpa kumara</t>
  </si>
  <si>
    <t>jeewanta</t>
  </si>
  <si>
    <t>sachith</t>
  </si>
  <si>
    <t>75 ₪</t>
  </si>
  <si>
    <t>dhammika</t>
  </si>
  <si>
    <t>76 ₪</t>
  </si>
  <si>
    <t>P0090345</t>
  </si>
  <si>
    <t>N8940870</t>
  </si>
  <si>
    <t>N10314237</t>
  </si>
  <si>
    <t>אתר אחר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</si>
</sst>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Arial"/>
      <scheme val="minor"/>
    </font>
    <font>
      <color theme="1"/>
      <name val="Arial"/>
      <scheme val="minor"/>
    </font>
    <font>
      <b/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theme="5"/>
        <bgColor theme="5"/>
      </patternFill>
    </fill>
    <fill>
      <patternFill patternType="solid">
        <fgColor rgb="FFB8D4EF"/>
        <bgColor rgb="FFB8D4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2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4" fontId="4" numFmtId="0" xfId="0" applyBorder="1" applyFill="1" applyFont="1"/>
    <xf borderId="1" fillId="3" fontId="4" numFmtId="0" xfId="0" applyBorder="1" applyFont="1"/>
    <xf borderId="1" fillId="3" fontId="4" numFmtId="0" xfId="0" applyAlignment="1" applyBorder="1" applyFont="1">
      <alignment readingOrder="0"/>
    </xf>
    <xf borderId="1" fillId="5" fontId="4" numFmtId="0" xfId="0" applyBorder="1" applyFill="1" applyFont="1"/>
    <xf borderId="1" fillId="5" fontId="4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/>
    </xf>
    <xf borderId="1" fillId="7" fontId="4" numFmtId="0" xfId="0" applyBorder="1" applyFill="1" applyFont="1"/>
    <xf borderId="1" fillId="8" fontId="4" numFmtId="0" xfId="0" applyBorder="1" applyFill="1" applyFont="1"/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vertical="center" wrapText="1"/>
    </xf>
    <xf borderId="1" fillId="8" fontId="4" numFmtId="0" xfId="0" applyAlignment="1" applyBorder="1" applyFont="1">
      <alignment readingOrder="0"/>
    </xf>
    <xf borderId="0" fillId="0" fontId="4" numFmtId="2" xfId="0" applyFont="1" applyNumberFormat="1"/>
    <xf borderId="1" fillId="9" fontId="4" numFmtId="0" xfId="0" applyBorder="1" applyFill="1" applyFont="1"/>
    <xf borderId="1" fillId="3" fontId="4" numFmtId="0" xfId="0" applyAlignment="1" applyBorder="1" applyFont="1">
      <alignment readingOrder="0" shrinkToFit="0" vertical="center" wrapText="1"/>
    </xf>
    <xf borderId="1" fillId="2" fontId="4" numFmtId="0" xfId="0" applyBorder="1" applyFont="1"/>
    <xf borderId="1" fillId="6" fontId="4" numFmtId="0" xfId="0" applyBorder="1" applyFont="1"/>
    <xf borderId="1" fillId="3" fontId="4" numFmtId="0" xfId="0" applyAlignment="1" applyBorder="1" applyFont="1">
      <alignment readingOrder="0" shrinkToFit="0" wrapText="1"/>
    </xf>
    <xf borderId="0" fillId="0" fontId="4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7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8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9.25"/>
    <col customWidth="1" min="4" max="4" width="9.75"/>
    <col customWidth="1" min="5" max="5" width="8.63"/>
    <col customWidth="1" min="6" max="6" width="10.25"/>
    <col customWidth="1" min="7" max="7" width="8.63"/>
    <col customWidth="1" min="8" max="8" width="15.25"/>
    <col customWidth="1" min="9" max="9" width="12.0"/>
    <col customWidth="1" min="10" max="26" width="8.63"/>
  </cols>
  <sheetData>
    <row r="1" ht="13.5" customHeight="1">
      <c r="A1" s="1" t="s">
        <v>0</v>
      </c>
      <c r="B1" s="1" t="s">
        <v>1</v>
      </c>
    </row>
    <row r="2" ht="13.5" customHeight="1">
      <c r="B2" s="1" t="s">
        <v>2</v>
      </c>
    </row>
    <row r="3" ht="13.5" customHeight="1">
      <c r="A3" s="2">
        <v>1.0</v>
      </c>
      <c r="B3" s="1" t="s">
        <v>3</v>
      </c>
    </row>
    <row r="4" ht="13.5" customHeight="1">
      <c r="A4" s="2">
        <v>2.0</v>
      </c>
      <c r="B4" s="1" t="s">
        <v>3</v>
      </c>
    </row>
    <row r="5" ht="13.5" customHeight="1">
      <c r="A5" s="3" t="s">
        <v>4</v>
      </c>
      <c r="B5" s="3" t="s">
        <v>5</v>
      </c>
      <c r="C5" s="3"/>
      <c r="D5" s="3"/>
      <c r="E5" s="3"/>
      <c r="F5" s="3"/>
      <c r="G5" s="3"/>
    </row>
    <row r="6" ht="13.5" customHeight="1">
      <c r="A6" s="2">
        <v>4.0</v>
      </c>
      <c r="B6" s="1" t="s">
        <v>3</v>
      </c>
    </row>
    <row r="7" ht="13.5" customHeight="1">
      <c r="A7" s="2">
        <v>5.0</v>
      </c>
      <c r="B7" s="1" t="s">
        <v>3</v>
      </c>
    </row>
    <row r="8" ht="13.5" customHeight="1">
      <c r="A8" s="2">
        <v>6.0</v>
      </c>
      <c r="B8" s="1" t="s">
        <v>3</v>
      </c>
    </row>
    <row r="9" ht="13.5" customHeight="1">
      <c r="A9" s="2">
        <v>7.0</v>
      </c>
      <c r="B9" s="1" t="s">
        <v>3</v>
      </c>
    </row>
    <row r="10" ht="13.5" customHeight="1">
      <c r="A10" s="2">
        <v>8.0</v>
      </c>
      <c r="B10" s="1" t="s">
        <v>3</v>
      </c>
    </row>
    <row r="11" ht="13.5" customHeight="1">
      <c r="A11" s="2">
        <v>9.0</v>
      </c>
      <c r="B11" s="1" t="s">
        <v>3</v>
      </c>
    </row>
    <row r="12" ht="13.5" customHeight="1">
      <c r="A12" s="3" t="s">
        <v>6</v>
      </c>
      <c r="B12" s="3" t="s">
        <v>5</v>
      </c>
      <c r="C12" s="3"/>
      <c r="D12" s="3"/>
      <c r="E12" s="3"/>
      <c r="F12" s="3"/>
      <c r="G12" s="3"/>
    </row>
    <row r="13" ht="13.5" customHeight="1">
      <c r="A13" s="2">
        <v>11.0</v>
      </c>
      <c r="B13" s="1" t="s">
        <v>3</v>
      </c>
    </row>
    <row r="14" ht="13.5" customHeight="1">
      <c r="A14" s="2">
        <v>12.0</v>
      </c>
      <c r="B14" s="1" t="s">
        <v>3</v>
      </c>
      <c r="F14" s="3"/>
    </row>
    <row r="15" ht="13.5" customHeight="1">
      <c r="A15" s="2">
        <v>13.0</v>
      </c>
      <c r="B15" s="1" t="s">
        <v>3</v>
      </c>
    </row>
    <row r="16" ht="13.5" customHeight="1">
      <c r="A16" s="2">
        <v>14.0</v>
      </c>
      <c r="B16" s="1" t="s">
        <v>3</v>
      </c>
    </row>
    <row r="17" ht="13.5" customHeight="1">
      <c r="A17" s="2">
        <v>15.0</v>
      </c>
      <c r="B17" s="1" t="s">
        <v>3</v>
      </c>
    </row>
    <row r="18" ht="13.5" customHeight="1">
      <c r="A18" s="2">
        <v>16.0</v>
      </c>
      <c r="B18" s="1" t="s">
        <v>3</v>
      </c>
    </row>
    <row r="19" ht="13.5" customHeight="1">
      <c r="A19" s="3" t="s">
        <v>7</v>
      </c>
      <c r="B19" s="3" t="s">
        <v>5</v>
      </c>
      <c r="C19" s="3"/>
      <c r="D19" s="3"/>
      <c r="E19" s="3"/>
      <c r="F19" s="3"/>
      <c r="G19" s="3"/>
    </row>
    <row r="20" ht="13.5" customHeight="1">
      <c r="A20" s="2">
        <v>18.0</v>
      </c>
      <c r="B20" s="1" t="s">
        <v>3</v>
      </c>
    </row>
    <row r="21" ht="13.5" customHeight="1">
      <c r="A21" s="2">
        <v>19.0</v>
      </c>
      <c r="B21" s="1" t="s">
        <v>3</v>
      </c>
    </row>
    <row r="22" ht="13.5" customHeight="1">
      <c r="A22" s="2">
        <v>20.0</v>
      </c>
      <c r="B22" s="1" t="s">
        <v>3</v>
      </c>
    </row>
    <row r="23" ht="13.5" customHeight="1">
      <c r="A23" s="2">
        <v>21.0</v>
      </c>
      <c r="B23" s="1" t="s">
        <v>3</v>
      </c>
    </row>
    <row r="24" ht="13.5" customHeight="1">
      <c r="A24" s="2">
        <v>22.0</v>
      </c>
      <c r="B24" s="1" t="s">
        <v>3</v>
      </c>
    </row>
    <row r="25" ht="13.5" customHeight="1">
      <c r="A25" s="2">
        <v>23.0</v>
      </c>
      <c r="B25" s="1" t="s">
        <v>3</v>
      </c>
    </row>
    <row r="26" ht="13.5" customHeight="1">
      <c r="A26" s="3" t="s">
        <v>8</v>
      </c>
      <c r="B26" s="3" t="s">
        <v>5</v>
      </c>
      <c r="C26" s="3"/>
      <c r="D26" s="3"/>
      <c r="E26" s="3"/>
      <c r="F26" s="3"/>
      <c r="G26" s="3"/>
    </row>
    <row r="27" ht="13.5" customHeight="1">
      <c r="A27" s="2">
        <v>25.0</v>
      </c>
      <c r="B27" s="1" t="s">
        <v>3</v>
      </c>
    </row>
    <row r="28" ht="13.5" customHeight="1">
      <c r="A28" s="2">
        <v>26.0</v>
      </c>
      <c r="B28" s="1" t="s">
        <v>3</v>
      </c>
    </row>
    <row r="29" ht="13.5" customHeight="1">
      <c r="A29" s="2">
        <v>27.0</v>
      </c>
      <c r="B29" s="1" t="s">
        <v>3</v>
      </c>
    </row>
    <row r="30" ht="13.5" customHeight="1">
      <c r="A30" s="2">
        <v>28.0</v>
      </c>
      <c r="B30" s="1" t="s">
        <v>3</v>
      </c>
    </row>
    <row r="31" ht="13.5" customHeight="1">
      <c r="A31" s="2">
        <v>29.0</v>
      </c>
      <c r="B31" s="1" t="s">
        <v>3</v>
      </c>
    </row>
    <row r="32" ht="13.5" customHeight="1">
      <c r="A32" s="2">
        <v>30.0</v>
      </c>
      <c r="B32" s="1" t="s">
        <v>3</v>
      </c>
    </row>
    <row r="33" ht="13.5" customHeight="1">
      <c r="A33" s="3" t="s">
        <v>9</v>
      </c>
      <c r="B33" s="3" t="s">
        <v>5</v>
      </c>
      <c r="C33" s="3"/>
      <c r="D33" s="3"/>
      <c r="E33" s="3"/>
      <c r="F33" s="3"/>
      <c r="G33" s="3"/>
      <c r="H33" s="4" t="s">
        <v>10</v>
      </c>
    </row>
    <row r="34" ht="13.5" customHeight="1">
      <c r="A34" s="5" t="s">
        <v>11</v>
      </c>
      <c r="B34" s="6">
        <f>SUM(B3:B33)</f>
        <v>0</v>
      </c>
      <c r="C34" s="6"/>
      <c r="D34" s="6"/>
      <c r="E34" s="6"/>
      <c r="F34" s="6"/>
      <c r="G34" s="6"/>
      <c r="H34" s="7">
        <f>SUM(B34:G34)</f>
        <v>0</v>
      </c>
    </row>
    <row r="35" ht="13.5" customHeight="1"/>
    <row r="36" ht="13.5" customHeight="1">
      <c r="H36" s="8">
        <v>0.0</v>
      </c>
      <c r="I36" s="9" t="s">
        <v>12</v>
      </c>
    </row>
    <row r="37" ht="13.5" customHeight="1">
      <c r="H37" s="10">
        <f>H34*78</f>
        <v>0</v>
      </c>
      <c r="I37" s="9" t="s">
        <v>13</v>
      </c>
    </row>
    <row r="38" ht="13.5" customHeight="1">
      <c r="H38" s="10">
        <f>H37*1.18</f>
        <v>0</v>
      </c>
      <c r="I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3" width="8.63"/>
    <col customWidth="1" min="4" max="4" width="15.25"/>
    <col customWidth="1" min="5" max="5" width="12.0"/>
    <col customWidth="1" min="6" max="26" width="8.63"/>
  </cols>
  <sheetData>
    <row r="1" ht="13.5" customHeight="1">
      <c r="A1" s="3" t="s">
        <v>15</v>
      </c>
      <c r="B1" s="2" t="s">
        <v>16</v>
      </c>
      <c r="C1" s="2" t="s">
        <v>17</v>
      </c>
    </row>
    <row r="2" ht="13.5" customHeight="1">
      <c r="B2" s="2" t="s">
        <v>18</v>
      </c>
      <c r="C2" s="2" t="s">
        <v>19</v>
      </c>
    </row>
    <row r="3" ht="13.5" customHeight="1">
      <c r="A3" s="2">
        <v>1.0</v>
      </c>
      <c r="B3" s="2">
        <v>11.0</v>
      </c>
      <c r="C3" s="2">
        <v>11.0</v>
      </c>
    </row>
    <row r="4" ht="13.5" customHeight="1">
      <c r="A4" s="2">
        <v>2.0</v>
      </c>
      <c r="B4" s="2">
        <v>7.0</v>
      </c>
      <c r="C4" s="2">
        <v>7.0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11.0</v>
      </c>
      <c r="C6" s="2">
        <v>11.0</v>
      </c>
    </row>
    <row r="7" ht="13.5" customHeight="1">
      <c r="A7" s="2">
        <v>5.0</v>
      </c>
      <c r="B7" s="2">
        <v>11.0</v>
      </c>
      <c r="C7" s="2">
        <v>11.0</v>
      </c>
    </row>
    <row r="8" ht="13.5" customHeight="1">
      <c r="A8" s="2">
        <v>6.0</v>
      </c>
      <c r="B8" s="2">
        <v>11.0</v>
      </c>
      <c r="C8" s="2">
        <v>11.0</v>
      </c>
    </row>
    <row r="9" ht="13.5" customHeight="1">
      <c r="A9" s="2">
        <v>7.0</v>
      </c>
      <c r="B9" s="2">
        <v>11.0</v>
      </c>
      <c r="C9" s="2">
        <v>11.0</v>
      </c>
    </row>
    <row r="10" ht="13.5" customHeight="1">
      <c r="A10" s="2">
        <v>8.0</v>
      </c>
      <c r="B10" s="2">
        <v>11.0</v>
      </c>
      <c r="C10" s="2">
        <v>11.0</v>
      </c>
    </row>
    <row r="11" ht="13.5" customHeight="1">
      <c r="A11" s="2">
        <v>9.0</v>
      </c>
      <c r="B11" s="2">
        <v>7.0</v>
      </c>
      <c r="C11" s="2">
        <v>7.0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">
        <v>11.0</v>
      </c>
      <c r="C13" s="2">
        <v>11.0</v>
      </c>
    </row>
    <row r="14" ht="13.5" customHeight="1">
      <c r="A14" s="2">
        <v>12.0</v>
      </c>
      <c r="B14" s="2">
        <v>11.0</v>
      </c>
      <c r="C14" s="2">
        <v>11.0</v>
      </c>
    </row>
    <row r="15" ht="13.5" customHeight="1">
      <c r="A15" s="2">
        <v>13.0</v>
      </c>
      <c r="B15" s="2">
        <v>11.0</v>
      </c>
      <c r="C15" s="3" t="s">
        <v>20</v>
      </c>
    </row>
    <row r="16" ht="13.5" customHeight="1">
      <c r="A16" s="2">
        <v>14.0</v>
      </c>
      <c r="B16" s="2">
        <v>11.0</v>
      </c>
      <c r="C16" s="2">
        <v>11.0</v>
      </c>
    </row>
    <row r="17" ht="13.5" customHeight="1">
      <c r="A17" s="2">
        <v>15.0</v>
      </c>
      <c r="B17" s="2">
        <v>11.0</v>
      </c>
      <c r="C17" s="2">
        <v>11.0</v>
      </c>
    </row>
    <row r="18" ht="13.5" customHeight="1">
      <c r="A18" s="2">
        <v>16.0</v>
      </c>
      <c r="B18" s="2">
        <v>7.0</v>
      </c>
      <c r="C18" s="2">
        <v>7.0</v>
      </c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B20" s="2">
        <v>11.0</v>
      </c>
      <c r="C20" s="2">
        <v>11.0</v>
      </c>
    </row>
    <row r="21" ht="13.5" customHeight="1">
      <c r="A21" s="2">
        <v>19.0</v>
      </c>
      <c r="B21" s="2">
        <v>11.0</v>
      </c>
      <c r="C21" s="2">
        <v>11.0</v>
      </c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  <c r="B25" s="2">
        <v>7.0</v>
      </c>
      <c r="C25" s="2">
        <v>7.0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4" t="s">
        <v>10</v>
      </c>
    </row>
    <row r="34" ht="13.5" customHeight="1">
      <c r="A34" s="5" t="s">
        <v>11</v>
      </c>
      <c r="B34" s="6">
        <f t="shared" ref="B34:C34" si="1">SUM(B3:B33)</f>
        <v>266</v>
      </c>
      <c r="C34" s="6">
        <f t="shared" si="1"/>
        <v>255</v>
      </c>
      <c r="D34" s="7">
        <f>SUM(B34:C34)</f>
        <v>521</v>
      </c>
    </row>
    <row r="35" ht="13.5" customHeight="1"/>
    <row r="36" ht="13.5" customHeight="1">
      <c r="D36" s="10" t="s">
        <v>21</v>
      </c>
      <c r="E36" s="9" t="s">
        <v>12</v>
      </c>
    </row>
    <row r="37" ht="13.5" customHeight="1">
      <c r="D37" s="10">
        <f>D34*78</f>
        <v>40638</v>
      </c>
      <c r="E37" s="9" t="s">
        <v>13</v>
      </c>
    </row>
    <row r="38" ht="13.5" customHeight="1">
      <c r="D38" s="10">
        <f>D37*1.18</f>
        <v>47952.84</v>
      </c>
      <c r="E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3" width="8.63"/>
    <col customWidth="1" min="4" max="4" width="15.25"/>
    <col customWidth="1" min="5" max="5" width="12.0"/>
    <col customWidth="1" min="6" max="26" width="8.63"/>
  </cols>
  <sheetData>
    <row r="1" ht="13.5" customHeight="1">
      <c r="A1" s="3" t="s">
        <v>15</v>
      </c>
      <c r="B1" s="2" t="s">
        <v>22</v>
      </c>
      <c r="C1" s="2" t="s">
        <v>23</v>
      </c>
    </row>
    <row r="2" ht="13.5" customHeight="1">
      <c r="B2" s="2" t="s">
        <v>24</v>
      </c>
      <c r="C2" s="2" t="s">
        <v>25</v>
      </c>
    </row>
    <row r="3" ht="13.5" customHeight="1">
      <c r="A3" s="2">
        <v>1.0</v>
      </c>
      <c r="B3" s="2">
        <v>11.0</v>
      </c>
      <c r="C3" s="2">
        <v>11.0</v>
      </c>
    </row>
    <row r="4" ht="13.5" customHeight="1">
      <c r="A4" s="2">
        <v>2.0</v>
      </c>
      <c r="B4" s="2">
        <v>7.0</v>
      </c>
      <c r="C4" s="3" t="s">
        <v>26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11.0</v>
      </c>
      <c r="C6" s="3" t="s">
        <v>26</v>
      </c>
    </row>
    <row r="7" ht="13.5" customHeight="1">
      <c r="A7" s="2">
        <v>5.0</v>
      </c>
      <c r="B7" s="2">
        <v>11.0</v>
      </c>
      <c r="C7" s="2">
        <v>11.0</v>
      </c>
    </row>
    <row r="8" ht="13.5" customHeight="1">
      <c r="A8" s="2">
        <v>6.0</v>
      </c>
      <c r="B8" s="2">
        <v>11.0</v>
      </c>
      <c r="C8" s="2">
        <v>11.0</v>
      </c>
    </row>
    <row r="9" ht="13.5" customHeight="1">
      <c r="A9" s="2">
        <v>7.0</v>
      </c>
      <c r="B9" s="2">
        <v>11.0</v>
      </c>
      <c r="C9" s="2">
        <v>3.0</v>
      </c>
    </row>
    <row r="10" ht="13.5" customHeight="1">
      <c r="A10" s="2">
        <v>8.0</v>
      </c>
      <c r="B10" s="2">
        <v>11.0</v>
      </c>
      <c r="C10" s="3" t="s">
        <v>26</v>
      </c>
    </row>
    <row r="11" ht="13.5" customHeight="1">
      <c r="A11" s="2">
        <v>9.0</v>
      </c>
      <c r="B11" s="2">
        <v>7.0</v>
      </c>
      <c r="C11" s="3" t="s">
        <v>26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">
        <v>11.0</v>
      </c>
      <c r="C13" s="3" t="s">
        <v>26</v>
      </c>
    </row>
    <row r="14" ht="13.5" customHeight="1">
      <c r="A14" s="2">
        <v>12.0</v>
      </c>
      <c r="B14" s="2">
        <v>11.0</v>
      </c>
      <c r="C14" s="3" t="s">
        <v>26</v>
      </c>
    </row>
    <row r="15" ht="13.5" customHeight="1">
      <c r="A15" s="2">
        <v>13.0</v>
      </c>
      <c r="B15" s="2">
        <v>11.0</v>
      </c>
      <c r="C15" s="3" t="s">
        <v>26</v>
      </c>
    </row>
    <row r="16" ht="13.5" customHeight="1">
      <c r="A16" s="2">
        <v>14.0</v>
      </c>
      <c r="B16" s="2">
        <v>11.0</v>
      </c>
      <c r="C16" s="3" t="s">
        <v>26</v>
      </c>
    </row>
    <row r="17" ht="13.5" customHeight="1">
      <c r="A17" s="2">
        <v>15.0</v>
      </c>
      <c r="B17" s="2">
        <v>11.0</v>
      </c>
      <c r="C17" s="3" t="s">
        <v>26</v>
      </c>
    </row>
    <row r="18" ht="13.5" customHeight="1">
      <c r="A18" s="2">
        <v>16.0</v>
      </c>
      <c r="B18" s="2">
        <v>7.0</v>
      </c>
      <c r="C18" s="3" t="s">
        <v>26</v>
      </c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B20" s="2">
        <v>11.0</v>
      </c>
      <c r="C20" s="2">
        <v>11.0</v>
      </c>
    </row>
    <row r="21" ht="13.5" customHeight="1">
      <c r="A21" s="2">
        <v>19.0</v>
      </c>
      <c r="B21" s="2">
        <v>11.0</v>
      </c>
      <c r="C21" s="2">
        <v>11.0</v>
      </c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  <c r="B25" s="2">
        <v>7.0</v>
      </c>
      <c r="C25" s="2">
        <v>7.0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4" t="s">
        <v>10</v>
      </c>
    </row>
    <row r="34" ht="13.5" customHeight="1">
      <c r="A34" s="5" t="s">
        <v>11</v>
      </c>
      <c r="B34" s="6">
        <f t="shared" ref="B34:C34" si="1">SUM(B3:B33)</f>
        <v>266</v>
      </c>
      <c r="C34" s="6">
        <f t="shared" si="1"/>
        <v>160</v>
      </c>
      <c r="D34" s="7">
        <f>SUM(B34:C34)</f>
        <v>426</v>
      </c>
    </row>
    <row r="35" ht="13.5" customHeight="1"/>
    <row r="36" ht="13.5" customHeight="1">
      <c r="D36" s="10" t="s">
        <v>21</v>
      </c>
      <c r="E36" s="9" t="s">
        <v>12</v>
      </c>
    </row>
    <row r="37" ht="13.5" customHeight="1">
      <c r="D37" s="10">
        <f>D34*78</f>
        <v>33228</v>
      </c>
      <c r="E37" s="9" t="s">
        <v>13</v>
      </c>
    </row>
    <row r="38" ht="13.5" customHeight="1">
      <c r="D38" s="10">
        <f>D37*1.18</f>
        <v>39209.04</v>
      </c>
      <c r="E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27</v>
      </c>
      <c r="C1" s="2" t="s">
        <v>28</v>
      </c>
      <c r="D1" s="2" t="s">
        <v>29</v>
      </c>
      <c r="E1" s="2" t="s">
        <v>30</v>
      </c>
    </row>
    <row r="2" ht="13.5" customHeight="1">
      <c r="B2" s="2" t="s">
        <v>31</v>
      </c>
      <c r="C2" s="2" t="s">
        <v>32</v>
      </c>
      <c r="D2" s="2" t="s">
        <v>33</v>
      </c>
      <c r="E2" s="2" t="s">
        <v>34</v>
      </c>
    </row>
    <row r="3" ht="13.5" customHeight="1">
      <c r="A3" s="2">
        <v>1.0</v>
      </c>
      <c r="B3" s="2">
        <v>10.0</v>
      </c>
      <c r="C3" s="2">
        <v>10.0</v>
      </c>
      <c r="D3" s="2">
        <v>10.0</v>
      </c>
      <c r="E3" s="2">
        <v>10.0</v>
      </c>
    </row>
    <row r="4" ht="13.5" customHeight="1">
      <c r="A4" s="2">
        <v>2.0</v>
      </c>
      <c r="B4" s="2">
        <v>6.0</v>
      </c>
      <c r="C4" s="2">
        <v>6.0</v>
      </c>
      <c r="D4" s="2">
        <v>6.0</v>
      </c>
      <c r="E4" s="2">
        <v>6.0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</row>
    <row r="7" ht="13.5" customHeight="1">
      <c r="A7" s="2">
        <v>5.0</v>
      </c>
      <c r="B7" s="2">
        <v>11.0</v>
      </c>
      <c r="C7" s="2">
        <v>10.0</v>
      </c>
      <c r="D7" s="2">
        <v>10.0</v>
      </c>
      <c r="E7" s="2">
        <v>10.0</v>
      </c>
    </row>
    <row r="8" ht="13.5" customHeight="1">
      <c r="A8" s="2">
        <v>6.0</v>
      </c>
      <c r="B8" s="2">
        <v>11.0</v>
      </c>
      <c r="C8" s="2">
        <v>10.0</v>
      </c>
      <c r="D8" s="2">
        <v>10.0</v>
      </c>
      <c r="E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</row>
    <row r="11" ht="13.5" customHeight="1">
      <c r="A11" s="2">
        <v>9.0</v>
      </c>
      <c r="B11" s="2">
        <v>7.0</v>
      </c>
      <c r="C11" s="2">
        <v>7.0</v>
      </c>
      <c r="D11" s="2">
        <v>7.0</v>
      </c>
      <c r="E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10.0</v>
      </c>
      <c r="E13" s="2">
        <v>10.0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</row>
    <row r="15" ht="13.5" customHeight="1">
      <c r="A15" s="2">
        <v>13.0</v>
      </c>
      <c r="B15" s="2">
        <v>10.0</v>
      </c>
      <c r="C15" s="2">
        <v>10.0</v>
      </c>
      <c r="D15" s="2">
        <v>10.0</v>
      </c>
      <c r="E15" s="2">
        <v>10.0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</row>
    <row r="18" ht="13.5" customHeight="1">
      <c r="A18" s="2">
        <v>16.0</v>
      </c>
      <c r="B18" s="2">
        <v>6.0</v>
      </c>
      <c r="C18" s="2">
        <v>6.0</v>
      </c>
      <c r="D18" s="2">
        <v>6.0</v>
      </c>
      <c r="E18" s="2">
        <v>6.0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11.0</v>
      </c>
    </row>
    <row r="25" ht="13.5" customHeight="1">
      <c r="A25" s="2">
        <v>23.0</v>
      </c>
      <c r="B25" s="2">
        <v>7.0</v>
      </c>
      <c r="C25" s="2">
        <v>6.0</v>
      </c>
      <c r="D25" s="2">
        <v>7.0</v>
      </c>
      <c r="E25" s="2">
        <v>6.0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10.0</v>
      </c>
    </row>
    <row r="28" ht="13.5" customHeight="1">
      <c r="A28" s="2">
        <v>26.0</v>
      </c>
      <c r="B28" s="2">
        <v>10.0</v>
      </c>
      <c r="C28" s="2">
        <v>10.0</v>
      </c>
      <c r="D28" s="2">
        <v>10.0</v>
      </c>
      <c r="E28" s="2">
        <v>10.0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2">
        <v>10.0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</row>
    <row r="32" ht="13.5" customHeight="1">
      <c r="A32" s="2">
        <v>30.0</v>
      </c>
      <c r="B32" s="2">
        <v>6.0</v>
      </c>
      <c r="C32" s="2">
        <v>6.0</v>
      </c>
      <c r="D32" s="2">
        <v>6.0</v>
      </c>
      <c r="E32" s="2">
        <v>6.0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244</v>
      </c>
      <c r="C34" s="2">
        <f t="shared" si="1"/>
        <v>241</v>
      </c>
      <c r="D34" s="2">
        <f t="shared" si="1"/>
        <v>242</v>
      </c>
      <c r="E34" s="2">
        <f t="shared" si="1"/>
        <v>242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35</v>
      </c>
      <c r="C1" s="2" t="s">
        <v>36</v>
      </c>
      <c r="D1" s="2" t="s">
        <v>37</v>
      </c>
      <c r="E1" s="2" t="s">
        <v>38</v>
      </c>
      <c r="F1" s="11" t="s">
        <v>39</v>
      </c>
      <c r="G1" s="2" t="s">
        <v>40</v>
      </c>
      <c r="H1" s="2" t="s">
        <v>41</v>
      </c>
    </row>
    <row r="2" ht="13.5" customHeight="1">
      <c r="B2" s="2" t="s">
        <v>42</v>
      </c>
      <c r="C2" s="2" t="s">
        <v>32</v>
      </c>
      <c r="D2" s="2" t="s">
        <v>43</v>
      </c>
      <c r="E2" s="2" t="s">
        <v>44</v>
      </c>
      <c r="F2" s="2" t="s">
        <v>45</v>
      </c>
      <c r="G2" s="2" t="s">
        <v>32</v>
      </c>
      <c r="H2" s="2" t="s">
        <v>46</v>
      </c>
    </row>
    <row r="3" ht="13.5" customHeight="1">
      <c r="A3" s="2">
        <v>1.0</v>
      </c>
      <c r="B3" s="3" t="s">
        <v>20</v>
      </c>
      <c r="C3" s="3" t="s">
        <v>20</v>
      </c>
      <c r="D3" s="3" t="s">
        <v>26</v>
      </c>
      <c r="E3" s="3" t="s">
        <v>26</v>
      </c>
      <c r="F3" s="12"/>
      <c r="G3" s="3" t="s">
        <v>20</v>
      </c>
      <c r="H3" s="3" t="s">
        <v>20</v>
      </c>
    </row>
    <row r="4" ht="13.5" customHeight="1">
      <c r="A4" s="2">
        <v>2.0</v>
      </c>
      <c r="B4" s="3" t="s">
        <v>26</v>
      </c>
      <c r="C4" s="3" t="s">
        <v>26</v>
      </c>
      <c r="D4" s="3" t="s">
        <v>20</v>
      </c>
      <c r="E4" s="3" t="s">
        <v>20</v>
      </c>
      <c r="F4" s="12"/>
      <c r="G4" s="3" t="s">
        <v>26</v>
      </c>
      <c r="H4" s="3" t="s">
        <v>26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12"/>
      <c r="G5" s="3" t="s">
        <v>5</v>
      </c>
      <c r="H5" s="3" t="s">
        <v>5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  <c r="F6" s="12"/>
      <c r="G6" s="2">
        <v>10.0</v>
      </c>
      <c r="H6" s="2">
        <v>10.0</v>
      </c>
    </row>
    <row r="7" ht="13.5" customHeight="1">
      <c r="A7" s="2">
        <v>5.0</v>
      </c>
      <c r="B7" s="3" t="s">
        <v>26</v>
      </c>
      <c r="C7" s="2">
        <v>10.0</v>
      </c>
      <c r="D7" s="3" t="s">
        <v>26</v>
      </c>
      <c r="E7" s="2">
        <v>10.0</v>
      </c>
      <c r="F7" s="12"/>
      <c r="G7" s="2">
        <v>10.0</v>
      </c>
      <c r="H7" s="2">
        <v>10.0</v>
      </c>
    </row>
    <row r="8" ht="13.5" customHeight="1">
      <c r="A8" s="2">
        <v>6.0</v>
      </c>
      <c r="B8" s="2">
        <v>10.0</v>
      </c>
      <c r="C8" s="2">
        <v>10.0</v>
      </c>
      <c r="D8" s="2">
        <v>10.0</v>
      </c>
      <c r="E8" s="2">
        <v>10.0</v>
      </c>
      <c r="F8" s="12"/>
      <c r="G8" s="2">
        <v>10.0</v>
      </c>
      <c r="H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  <c r="F9" s="12"/>
      <c r="G9" s="2">
        <v>10.0</v>
      </c>
      <c r="H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  <c r="F10" s="12"/>
      <c r="G10" s="2">
        <v>10.0</v>
      </c>
      <c r="H10" s="2">
        <v>10.0</v>
      </c>
    </row>
    <row r="11" ht="13.5" customHeight="1">
      <c r="A11" s="2">
        <v>9.0</v>
      </c>
      <c r="B11" s="3" t="s">
        <v>26</v>
      </c>
      <c r="C11" s="3" t="s">
        <v>20</v>
      </c>
      <c r="D11" s="3" t="s">
        <v>26</v>
      </c>
      <c r="E11" s="3" t="s">
        <v>20</v>
      </c>
      <c r="F11" s="12"/>
      <c r="G11" s="3" t="s">
        <v>26</v>
      </c>
      <c r="H11" s="3" t="s">
        <v>20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12"/>
      <c r="G12" s="3" t="s">
        <v>5</v>
      </c>
      <c r="H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3" t="s">
        <v>26</v>
      </c>
      <c r="E13" s="2">
        <v>10.0</v>
      </c>
      <c r="F13" s="12"/>
      <c r="G13" s="2">
        <v>10.0</v>
      </c>
      <c r="H13" s="2">
        <v>10.0</v>
      </c>
    </row>
    <row r="14" ht="13.5" customHeight="1">
      <c r="A14" s="2">
        <v>12.0</v>
      </c>
      <c r="B14" s="2">
        <v>9.5</v>
      </c>
      <c r="C14" s="2">
        <v>9.5</v>
      </c>
      <c r="D14" s="2">
        <v>9.5</v>
      </c>
      <c r="E14" s="2">
        <v>9.5</v>
      </c>
      <c r="F14" s="12"/>
      <c r="G14" s="2">
        <v>9.5</v>
      </c>
      <c r="H14" s="2">
        <v>9.5</v>
      </c>
    </row>
    <row r="15" ht="13.5" customHeight="1">
      <c r="A15" s="2">
        <v>13.0</v>
      </c>
      <c r="B15" s="3" t="s">
        <v>26</v>
      </c>
      <c r="C15" s="3" t="s">
        <v>20</v>
      </c>
      <c r="D15" s="3" t="s">
        <v>26</v>
      </c>
      <c r="E15" s="3" t="s">
        <v>26</v>
      </c>
      <c r="F15" s="12"/>
      <c r="G15" s="3" t="s">
        <v>26</v>
      </c>
      <c r="H15" s="3" t="s">
        <v>26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  <c r="F16" s="12"/>
      <c r="G16" s="2">
        <v>10.0</v>
      </c>
      <c r="H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  <c r="F17" s="12"/>
      <c r="G17" s="2">
        <v>10.0</v>
      </c>
      <c r="H17" s="2">
        <v>10.0</v>
      </c>
    </row>
    <row r="18" ht="13.5" customHeight="1">
      <c r="A18" s="2">
        <v>16.0</v>
      </c>
      <c r="B18" s="2">
        <v>6.0</v>
      </c>
      <c r="C18" s="2">
        <v>6.0</v>
      </c>
      <c r="D18" s="2">
        <v>6.0</v>
      </c>
      <c r="E18" s="2">
        <v>6.0</v>
      </c>
      <c r="F18" s="12"/>
      <c r="G18" s="2">
        <v>6.0</v>
      </c>
      <c r="H18" s="2">
        <v>6.0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12"/>
      <c r="G19" s="3" t="s">
        <v>5</v>
      </c>
      <c r="H19" s="3" t="s">
        <v>5</v>
      </c>
    </row>
    <row r="20" ht="13.5" customHeight="1">
      <c r="A20" s="2">
        <v>18.0</v>
      </c>
      <c r="B20" s="3" t="s">
        <v>26</v>
      </c>
      <c r="C20" s="3" t="s">
        <v>26</v>
      </c>
      <c r="D20" s="2">
        <v>10.0</v>
      </c>
      <c r="E20" s="2">
        <v>10.0</v>
      </c>
      <c r="F20" s="12"/>
      <c r="G20" s="2">
        <v>10.0</v>
      </c>
      <c r="H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  <c r="F21" s="12"/>
      <c r="G21" s="2">
        <v>10.0</v>
      </c>
      <c r="H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  <c r="F22" s="12"/>
      <c r="G22" s="2">
        <v>10.0</v>
      </c>
      <c r="H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  <c r="F23" s="12"/>
      <c r="G23" s="2">
        <v>10.0</v>
      </c>
      <c r="H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10.0</v>
      </c>
      <c r="F24" s="12"/>
      <c r="G24" s="2">
        <v>10.0</v>
      </c>
      <c r="H24" s="2">
        <v>10.0</v>
      </c>
    </row>
    <row r="25" ht="13.5" customHeight="1">
      <c r="A25" s="2">
        <v>23.0</v>
      </c>
      <c r="B25" s="2">
        <v>6.0</v>
      </c>
      <c r="C25" s="2">
        <v>6.0</v>
      </c>
      <c r="D25" s="2">
        <v>6.0</v>
      </c>
      <c r="E25" s="2">
        <v>6.0</v>
      </c>
      <c r="F25" s="12"/>
      <c r="G25" s="2">
        <v>6.0</v>
      </c>
      <c r="H25" s="2">
        <v>6.0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12"/>
      <c r="G26" s="3" t="s">
        <v>5</v>
      </c>
      <c r="H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10.0</v>
      </c>
      <c r="F27" s="12"/>
      <c r="G27" s="2">
        <v>10.0</v>
      </c>
      <c r="H27" s="2">
        <v>10.0</v>
      </c>
    </row>
    <row r="28" ht="13.5" customHeight="1">
      <c r="A28" s="2">
        <v>26.0</v>
      </c>
      <c r="B28" s="3" t="s">
        <v>20</v>
      </c>
      <c r="C28" s="2">
        <v>10.0</v>
      </c>
      <c r="D28" s="2">
        <v>10.0</v>
      </c>
      <c r="E28" s="3" t="s">
        <v>20</v>
      </c>
      <c r="F28" s="12"/>
      <c r="G28" s="2">
        <v>10.0</v>
      </c>
      <c r="H28" s="2">
        <v>6.0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2">
        <v>10.0</v>
      </c>
      <c r="F29" s="2">
        <v>10.0</v>
      </c>
      <c r="G29" s="2">
        <v>10.0</v>
      </c>
      <c r="H29" s="13" t="s">
        <v>47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  <c r="F30" s="2">
        <v>10.0</v>
      </c>
      <c r="G30" s="2">
        <v>10.0</v>
      </c>
      <c r="H30" s="13" t="s">
        <v>48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  <c r="F31" s="2">
        <v>10.0</v>
      </c>
      <c r="G31" s="2">
        <v>10.0</v>
      </c>
      <c r="H31" s="12"/>
    </row>
    <row r="32" ht="13.5" customHeight="1">
      <c r="A32" s="2">
        <v>30.0</v>
      </c>
      <c r="B32" s="2">
        <v>6.0</v>
      </c>
      <c r="C32" s="2">
        <v>6.0</v>
      </c>
      <c r="D32" s="2">
        <v>6.0</v>
      </c>
      <c r="E32" s="2">
        <v>6.0</v>
      </c>
      <c r="F32" s="2">
        <v>6.0</v>
      </c>
      <c r="G32" s="2">
        <v>6.0</v>
      </c>
      <c r="H32" s="12"/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</row>
    <row r="34" ht="13.5" customHeight="1">
      <c r="A34" s="3" t="s">
        <v>11</v>
      </c>
      <c r="B34" s="2">
        <f t="shared" ref="B34:H34" si="1">SUM(B3:B33)</f>
        <v>177.5</v>
      </c>
      <c r="C34" s="2">
        <f t="shared" si="1"/>
        <v>197.5</v>
      </c>
      <c r="D34" s="2">
        <f t="shared" si="1"/>
        <v>187.5</v>
      </c>
      <c r="E34" s="2">
        <f t="shared" si="1"/>
        <v>197.5</v>
      </c>
      <c r="F34" s="2">
        <f t="shared" si="1"/>
        <v>36</v>
      </c>
      <c r="G34" s="2">
        <f t="shared" si="1"/>
        <v>207.5</v>
      </c>
      <c r="H34" s="2">
        <f t="shared" si="1"/>
        <v>167.5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9.25"/>
    <col customWidth="1" min="3" max="8" width="8.63"/>
    <col customWidth="1" min="9" max="10" width="9.25"/>
    <col customWidth="1" min="11" max="11" width="11.25"/>
    <col customWidth="1" min="12" max="12" width="9.13"/>
    <col customWidth="1" min="13" max="13" width="10.25"/>
    <col customWidth="1" min="14" max="26" width="8.63"/>
  </cols>
  <sheetData>
    <row r="1" ht="13.5" customHeight="1">
      <c r="A1" s="3" t="s">
        <v>15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14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14" t="s">
        <v>65</v>
      </c>
    </row>
    <row r="2" ht="13.5" customHeight="1">
      <c r="B2" s="2" t="s">
        <v>66</v>
      </c>
      <c r="C2" s="2" t="s">
        <v>67</v>
      </c>
      <c r="D2" s="2" t="s">
        <v>68</v>
      </c>
      <c r="E2" s="2" t="s">
        <v>18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19</v>
      </c>
      <c r="N2" s="2" t="s">
        <v>76</v>
      </c>
      <c r="O2" s="2" t="s">
        <v>77</v>
      </c>
      <c r="P2" s="2" t="s">
        <v>78</v>
      </c>
      <c r="Q2" s="2" t="s">
        <v>79</v>
      </c>
      <c r="R2" s="2" t="s">
        <v>80</v>
      </c>
    </row>
    <row r="3" ht="13.5" customHeight="1">
      <c r="A3" s="2">
        <v>1.0</v>
      </c>
      <c r="B3" s="3" t="s">
        <v>26</v>
      </c>
      <c r="C3" s="2">
        <v>10.0</v>
      </c>
      <c r="D3" s="2">
        <v>10.0</v>
      </c>
      <c r="E3" s="2">
        <v>10.0</v>
      </c>
      <c r="F3" s="2">
        <v>10.0</v>
      </c>
      <c r="G3" s="3" t="s">
        <v>26</v>
      </c>
      <c r="H3" s="2">
        <v>10.0</v>
      </c>
      <c r="I3" s="2">
        <v>10.0</v>
      </c>
      <c r="J3" s="2">
        <v>10.0</v>
      </c>
      <c r="K3" s="2">
        <v>10.0</v>
      </c>
      <c r="L3" s="2">
        <v>10.0</v>
      </c>
      <c r="M3" s="3" t="s">
        <v>26</v>
      </c>
      <c r="N3" s="2">
        <v>10.0</v>
      </c>
      <c r="O3" s="2">
        <v>10.0</v>
      </c>
      <c r="P3" s="2">
        <v>10.0</v>
      </c>
      <c r="Q3" s="2">
        <v>10.0</v>
      </c>
      <c r="R3" s="2">
        <v>10.0</v>
      </c>
    </row>
    <row r="4" ht="13.5" customHeight="1">
      <c r="A4" s="2">
        <v>2.0</v>
      </c>
      <c r="B4" s="2">
        <v>6.0</v>
      </c>
      <c r="C4" s="2">
        <v>6.0</v>
      </c>
      <c r="D4" s="2">
        <v>6.0</v>
      </c>
      <c r="E4" s="2">
        <v>6.0</v>
      </c>
      <c r="F4" s="2">
        <v>6.0</v>
      </c>
      <c r="G4" s="2">
        <v>6.0</v>
      </c>
      <c r="H4" s="2">
        <v>6.0</v>
      </c>
      <c r="I4" s="2">
        <v>6.0</v>
      </c>
      <c r="J4" s="2">
        <v>6.0</v>
      </c>
      <c r="K4" s="2">
        <v>6.0</v>
      </c>
      <c r="L4" s="2">
        <v>6.0</v>
      </c>
      <c r="M4" s="2">
        <v>6.0</v>
      </c>
      <c r="N4" s="2">
        <v>6.0</v>
      </c>
      <c r="O4" s="2">
        <v>6.0</v>
      </c>
      <c r="P4" s="2">
        <v>6.0</v>
      </c>
      <c r="Q4" s="2">
        <v>6.0</v>
      </c>
      <c r="R4" s="2">
        <v>6.0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  <c r="F6" s="2">
        <v>10.0</v>
      </c>
      <c r="G6" s="2">
        <v>10.0</v>
      </c>
      <c r="H6" s="2">
        <v>10.0</v>
      </c>
      <c r="I6" s="2">
        <v>10.0</v>
      </c>
      <c r="J6" s="2">
        <v>10.0</v>
      </c>
      <c r="K6" s="2">
        <v>10.0</v>
      </c>
      <c r="L6" s="2">
        <v>10.0</v>
      </c>
      <c r="M6" s="2">
        <v>10.0</v>
      </c>
      <c r="N6" s="2">
        <v>10.0</v>
      </c>
      <c r="O6" s="2">
        <v>10.0</v>
      </c>
      <c r="P6" s="2">
        <v>10.0</v>
      </c>
      <c r="Q6" s="2">
        <v>10.0</v>
      </c>
      <c r="R6" s="2">
        <v>10.0</v>
      </c>
    </row>
    <row r="7" ht="13.5" customHeight="1">
      <c r="A7" s="2">
        <v>5.0</v>
      </c>
      <c r="B7" s="2">
        <v>10.0</v>
      </c>
      <c r="C7" s="2">
        <v>10.0</v>
      </c>
      <c r="D7" s="2">
        <v>10.0</v>
      </c>
      <c r="E7" s="2">
        <v>10.0</v>
      </c>
      <c r="F7" s="2">
        <v>10.0</v>
      </c>
      <c r="G7" s="2">
        <v>10.0</v>
      </c>
      <c r="H7" s="2">
        <v>10.0</v>
      </c>
      <c r="I7" s="2">
        <v>10.0</v>
      </c>
      <c r="J7" s="2">
        <v>10.0</v>
      </c>
      <c r="K7" s="2">
        <v>10.0</v>
      </c>
      <c r="L7" s="2">
        <v>10.0</v>
      </c>
      <c r="M7" s="2">
        <v>10.0</v>
      </c>
      <c r="N7" s="2">
        <v>10.0</v>
      </c>
      <c r="O7" s="2">
        <v>10.0</v>
      </c>
      <c r="P7" s="2">
        <v>10.0</v>
      </c>
      <c r="Q7" s="2">
        <v>10.0</v>
      </c>
      <c r="R7" s="2">
        <v>10.0</v>
      </c>
    </row>
    <row r="8" ht="13.5" customHeight="1">
      <c r="A8" s="2">
        <v>6.0</v>
      </c>
      <c r="B8" s="2">
        <v>10.0</v>
      </c>
      <c r="C8" s="2">
        <v>10.0</v>
      </c>
      <c r="D8" s="2">
        <v>10.0</v>
      </c>
      <c r="E8" s="2">
        <v>10.0</v>
      </c>
      <c r="F8" s="2">
        <v>10.0</v>
      </c>
      <c r="G8" s="2">
        <v>10.0</v>
      </c>
      <c r="H8" s="2">
        <v>10.0</v>
      </c>
      <c r="I8" s="2">
        <v>10.0</v>
      </c>
      <c r="J8" s="2">
        <v>10.0</v>
      </c>
      <c r="K8" s="2">
        <v>10.0</v>
      </c>
      <c r="L8" s="2">
        <v>10.0</v>
      </c>
      <c r="M8" s="2">
        <v>10.0</v>
      </c>
      <c r="N8" s="2">
        <v>10.0</v>
      </c>
      <c r="O8" s="2">
        <v>10.0</v>
      </c>
      <c r="P8" s="2">
        <v>10.0</v>
      </c>
      <c r="Q8" s="2">
        <v>10.0</v>
      </c>
      <c r="R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  <c r="F9" s="2">
        <v>10.0</v>
      </c>
      <c r="G9" s="2">
        <v>10.0</v>
      </c>
      <c r="H9" s="2">
        <v>10.0</v>
      </c>
      <c r="I9" s="2">
        <v>10.0</v>
      </c>
      <c r="J9" s="2">
        <v>10.0</v>
      </c>
      <c r="K9" s="2">
        <v>10.0</v>
      </c>
      <c r="L9" s="2">
        <v>10.0</v>
      </c>
      <c r="M9" s="2">
        <v>10.0</v>
      </c>
      <c r="N9" s="2">
        <v>10.0</v>
      </c>
      <c r="O9" s="2">
        <v>10.0</v>
      </c>
      <c r="P9" s="2">
        <v>10.0</v>
      </c>
      <c r="Q9" s="2">
        <v>10.0</v>
      </c>
      <c r="R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  <c r="F10" s="2">
        <v>10.0</v>
      </c>
      <c r="G10" s="2">
        <v>10.0</v>
      </c>
      <c r="H10" s="2">
        <v>10.0</v>
      </c>
      <c r="I10" s="2">
        <v>10.0</v>
      </c>
      <c r="J10" s="2">
        <v>10.0</v>
      </c>
      <c r="K10" s="2">
        <v>10.0</v>
      </c>
      <c r="L10" s="2">
        <v>10.0</v>
      </c>
      <c r="M10" s="2">
        <v>10.0</v>
      </c>
      <c r="N10" s="2">
        <v>10.0</v>
      </c>
      <c r="O10" s="2">
        <v>10.0</v>
      </c>
      <c r="P10" s="2">
        <v>10.0</v>
      </c>
      <c r="Q10" s="2">
        <v>10.0</v>
      </c>
      <c r="R10" s="2">
        <v>10.0</v>
      </c>
    </row>
    <row r="11" ht="13.5" customHeight="1">
      <c r="A11" s="2">
        <v>9.0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15" t="s">
        <v>26</v>
      </c>
      <c r="L11" s="3" t="s">
        <v>20</v>
      </c>
      <c r="M11" s="3" t="s">
        <v>20</v>
      </c>
      <c r="N11" s="3" t="s">
        <v>20</v>
      </c>
      <c r="O11" s="3" t="s">
        <v>26</v>
      </c>
      <c r="P11" s="3" t="s">
        <v>20</v>
      </c>
      <c r="Q11" s="3" t="s">
        <v>20</v>
      </c>
      <c r="R11" s="15" t="s">
        <v>26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10.0</v>
      </c>
      <c r="E13" s="2">
        <v>10.0</v>
      </c>
      <c r="F13" s="2">
        <v>10.0</v>
      </c>
      <c r="G13" s="2">
        <v>10.0</v>
      </c>
      <c r="H13" s="2">
        <v>10.0</v>
      </c>
      <c r="I13" s="2">
        <v>10.0</v>
      </c>
      <c r="J13" s="2">
        <v>10.0</v>
      </c>
      <c r="K13" s="2">
        <v>10.0</v>
      </c>
      <c r="L13" s="2">
        <v>10.0</v>
      </c>
      <c r="M13" s="2">
        <v>10.0</v>
      </c>
      <c r="N13" s="2">
        <v>10.0</v>
      </c>
      <c r="O13" s="2">
        <v>10.0</v>
      </c>
      <c r="P13" s="2">
        <v>10.0</v>
      </c>
      <c r="Q13" s="2">
        <v>10.0</v>
      </c>
      <c r="R13" s="2">
        <v>10.0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  <c r="F14" s="2">
        <v>10.0</v>
      </c>
      <c r="G14" s="2">
        <v>10.0</v>
      </c>
      <c r="H14" s="2">
        <v>10.0</v>
      </c>
      <c r="I14" s="2">
        <v>10.0</v>
      </c>
      <c r="J14" s="2">
        <v>10.0</v>
      </c>
      <c r="K14" s="2">
        <v>10.0</v>
      </c>
      <c r="L14" s="2">
        <v>10.0</v>
      </c>
      <c r="M14" s="2">
        <v>10.0</v>
      </c>
      <c r="N14" s="2">
        <v>10.0</v>
      </c>
      <c r="O14" s="2">
        <v>10.0</v>
      </c>
      <c r="P14" s="2">
        <v>10.0</v>
      </c>
      <c r="Q14" s="2">
        <v>10.0</v>
      </c>
      <c r="R14" s="2">
        <v>10.0</v>
      </c>
    </row>
    <row r="15" ht="13.5" customHeight="1">
      <c r="A15" s="2">
        <v>13.0</v>
      </c>
      <c r="B15" s="16" t="s">
        <v>26</v>
      </c>
      <c r="C15" s="3" t="s">
        <v>26</v>
      </c>
      <c r="D15" s="2">
        <v>10.0</v>
      </c>
      <c r="E15" s="3" t="s">
        <v>20</v>
      </c>
      <c r="F15" s="3" t="s">
        <v>26</v>
      </c>
      <c r="G15" s="2">
        <v>10.0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  <c r="F16" s="3" t="s">
        <v>26</v>
      </c>
      <c r="G16" s="2">
        <v>10.0</v>
      </c>
      <c r="H16" s="2">
        <v>10.0</v>
      </c>
      <c r="I16" s="2">
        <v>10.0</v>
      </c>
      <c r="J16" s="2">
        <v>10.0</v>
      </c>
      <c r="K16" s="2">
        <v>10.0</v>
      </c>
      <c r="L16" s="2">
        <v>10.0</v>
      </c>
      <c r="M16" s="2">
        <v>10.0</v>
      </c>
      <c r="N16" s="2">
        <v>10.0</v>
      </c>
      <c r="O16" s="3" t="s">
        <v>20</v>
      </c>
      <c r="P16" s="2">
        <v>10.0</v>
      </c>
      <c r="Q16" s="2">
        <v>10.0</v>
      </c>
      <c r="R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  <c r="F17" s="2">
        <v>10.0</v>
      </c>
      <c r="G17" s="2">
        <v>10.0</v>
      </c>
      <c r="H17" s="2">
        <v>10.0</v>
      </c>
      <c r="I17" s="2">
        <v>10.0</v>
      </c>
      <c r="J17" s="2">
        <v>10.0</v>
      </c>
      <c r="K17" s="2">
        <v>10.0</v>
      </c>
      <c r="L17" s="2">
        <v>10.0</v>
      </c>
      <c r="M17" s="2">
        <v>10.0</v>
      </c>
      <c r="N17" s="2">
        <v>10.0</v>
      </c>
      <c r="O17" s="2">
        <v>10.0</v>
      </c>
      <c r="P17" s="3" t="s">
        <v>20</v>
      </c>
      <c r="Q17" s="2">
        <v>10.0</v>
      </c>
      <c r="R17" s="2">
        <v>10.0</v>
      </c>
    </row>
    <row r="18" ht="13.5" customHeight="1">
      <c r="A18" s="2">
        <v>16.0</v>
      </c>
      <c r="B18" s="2">
        <v>6.0</v>
      </c>
      <c r="C18" s="2">
        <v>6.0</v>
      </c>
      <c r="D18" s="2">
        <v>6.0</v>
      </c>
      <c r="E18" s="2">
        <v>6.0</v>
      </c>
      <c r="F18" s="2">
        <v>6.0</v>
      </c>
      <c r="G18" s="2">
        <v>6.0</v>
      </c>
      <c r="H18" s="2">
        <v>6.0</v>
      </c>
      <c r="I18" s="2">
        <v>6.0</v>
      </c>
      <c r="J18" s="2">
        <v>6.0</v>
      </c>
      <c r="K18" s="2">
        <v>6.0</v>
      </c>
      <c r="L18" s="2">
        <v>6.0</v>
      </c>
      <c r="M18" s="2">
        <v>6.0</v>
      </c>
      <c r="N18" s="2">
        <v>6.0</v>
      </c>
      <c r="O18" s="2">
        <v>6.0</v>
      </c>
      <c r="P18" s="3" t="s">
        <v>26</v>
      </c>
      <c r="Q18" s="2">
        <v>6.0</v>
      </c>
      <c r="R18" s="2">
        <v>6.0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  <c r="R19" s="3" t="s">
        <v>5</v>
      </c>
    </row>
    <row r="20" ht="13.5" customHeight="1">
      <c r="A20" s="2">
        <v>18.0</v>
      </c>
      <c r="B20" s="2">
        <v>10.0</v>
      </c>
      <c r="D20" s="2">
        <v>10.0</v>
      </c>
      <c r="E20" s="12"/>
      <c r="F20" s="2">
        <v>10.0</v>
      </c>
      <c r="G20" s="2">
        <v>10.0</v>
      </c>
      <c r="H20" s="2">
        <v>10.0</v>
      </c>
      <c r="I20" s="3" t="s">
        <v>26</v>
      </c>
      <c r="J20" s="2">
        <v>10.0</v>
      </c>
      <c r="K20" s="2">
        <v>10.0</v>
      </c>
      <c r="L20" s="2">
        <v>10.0</v>
      </c>
      <c r="M20" s="2">
        <v>10.0</v>
      </c>
      <c r="N20" s="2">
        <v>10.0</v>
      </c>
      <c r="O20" s="2">
        <v>10.0</v>
      </c>
      <c r="P20" s="3" t="s">
        <v>26</v>
      </c>
      <c r="Q20" s="2">
        <v>10.0</v>
      </c>
      <c r="R20" s="2">
        <v>10.0</v>
      </c>
    </row>
    <row r="21" ht="13.5" customHeight="1">
      <c r="A21" s="2">
        <v>19.0</v>
      </c>
      <c r="B21" s="2">
        <v>10.0</v>
      </c>
      <c r="D21" s="2">
        <v>10.0</v>
      </c>
      <c r="E21" s="12"/>
      <c r="F21" s="2">
        <v>10.0</v>
      </c>
      <c r="G21" s="2">
        <v>10.0</v>
      </c>
      <c r="H21" s="2">
        <v>10.0</v>
      </c>
      <c r="I21" s="2">
        <v>10.0</v>
      </c>
      <c r="J21" s="2">
        <v>10.0</v>
      </c>
      <c r="K21" s="2">
        <v>10.0</v>
      </c>
      <c r="L21" s="2">
        <v>10.0</v>
      </c>
      <c r="M21" s="2">
        <v>10.0</v>
      </c>
      <c r="N21" s="2">
        <v>10.0</v>
      </c>
      <c r="O21" s="2">
        <v>10.0</v>
      </c>
      <c r="P21" s="2">
        <v>10.0</v>
      </c>
      <c r="Q21" s="2">
        <v>10.0</v>
      </c>
      <c r="R21" s="2">
        <v>10.0</v>
      </c>
    </row>
    <row r="22" ht="13.5" customHeight="1">
      <c r="A22" s="2">
        <v>20.0</v>
      </c>
      <c r="B22" s="2">
        <v>10.0</v>
      </c>
      <c r="D22" s="2">
        <v>10.0</v>
      </c>
      <c r="E22" s="12"/>
      <c r="F22" s="2">
        <v>10.0</v>
      </c>
      <c r="G22" s="2">
        <v>10.0</v>
      </c>
      <c r="H22" s="2">
        <v>10.0</v>
      </c>
      <c r="I22" s="2">
        <v>10.0</v>
      </c>
      <c r="J22" s="2">
        <v>10.0</v>
      </c>
      <c r="K22" s="2">
        <v>10.0</v>
      </c>
      <c r="L22" s="2">
        <v>10.0</v>
      </c>
      <c r="M22" s="2">
        <v>10.0</v>
      </c>
      <c r="N22" s="2">
        <v>10.0</v>
      </c>
      <c r="O22" s="2">
        <v>10.0</v>
      </c>
      <c r="P22" s="2">
        <v>10.0</v>
      </c>
      <c r="Q22" s="2">
        <v>10.0</v>
      </c>
      <c r="R22" s="2">
        <v>10.0</v>
      </c>
    </row>
    <row r="23" ht="13.5" customHeight="1">
      <c r="A23" s="2">
        <v>21.0</v>
      </c>
      <c r="B23" s="2">
        <v>10.0</v>
      </c>
      <c r="D23" s="2">
        <v>10.0</v>
      </c>
      <c r="E23" s="12"/>
      <c r="F23" s="2">
        <v>10.0</v>
      </c>
      <c r="G23" s="2">
        <v>10.0</v>
      </c>
      <c r="H23" s="2">
        <v>10.0</v>
      </c>
      <c r="I23" s="2">
        <v>10.0</v>
      </c>
      <c r="J23" s="2">
        <v>10.0</v>
      </c>
      <c r="K23" s="2">
        <v>10.0</v>
      </c>
      <c r="L23" s="2">
        <v>10.0</v>
      </c>
      <c r="M23" s="2">
        <v>10.0</v>
      </c>
      <c r="N23" s="2">
        <v>10.0</v>
      </c>
      <c r="O23" s="2">
        <v>10.0</v>
      </c>
      <c r="P23" s="2">
        <v>10.0</v>
      </c>
      <c r="Q23" s="2">
        <v>10.0</v>
      </c>
      <c r="R23" s="2">
        <v>10.0</v>
      </c>
    </row>
    <row r="24" ht="13.5" customHeight="1">
      <c r="A24" s="2">
        <v>22.0</v>
      </c>
      <c r="B24" s="2">
        <v>10.0</v>
      </c>
      <c r="D24" s="3" t="s">
        <v>26</v>
      </c>
      <c r="E24" s="12"/>
      <c r="F24" s="2">
        <v>10.0</v>
      </c>
      <c r="G24" s="3" t="s">
        <v>26</v>
      </c>
      <c r="H24" s="2">
        <v>10.0</v>
      </c>
      <c r="I24" s="2">
        <v>10.0</v>
      </c>
      <c r="J24" s="2">
        <v>10.0</v>
      </c>
      <c r="K24" s="2">
        <v>10.0</v>
      </c>
      <c r="L24" s="2">
        <v>10.0</v>
      </c>
      <c r="M24" s="2">
        <v>10.0</v>
      </c>
      <c r="N24" s="2">
        <v>10.0</v>
      </c>
      <c r="O24" s="2">
        <v>10.0</v>
      </c>
      <c r="P24" s="2">
        <v>10.0</v>
      </c>
      <c r="Q24" s="2">
        <v>10.0</v>
      </c>
      <c r="R24" s="2">
        <v>10.0</v>
      </c>
    </row>
    <row r="25" ht="13.5" customHeight="1">
      <c r="A25" s="2">
        <v>23.0</v>
      </c>
      <c r="B25" s="2">
        <v>6.0</v>
      </c>
      <c r="D25" s="2">
        <v>6.0</v>
      </c>
      <c r="E25" s="12"/>
      <c r="F25" s="2">
        <v>6.0</v>
      </c>
      <c r="G25" s="2">
        <v>6.0</v>
      </c>
      <c r="H25" s="2">
        <v>6.0</v>
      </c>
      <c r="I25" s="2">
        <v>6.0</v>
      </c>
      <c r="J25" s="2">
        <v>6.0</v>
      </c>
      <c r="K25" s="2">
        <v>6.0</v>
      </c>
      <c r="L25" s="2">
        <v>6.0</v>
      </c>
      <c r="M25" s="2">
        <v>6.0</v>
      </c>
      <c r="N25" s="2">
        <v>6.0</v>
      </c>
      <c r="O25" s="2">
        <v>6.0</v>
      </c>
      <c r="P25" s="2">
        <v>6.0</v>
      </c>
      <c r="Q25" s="2">
        <v>6.0</v>
      </c>
      <c r="R25" s="2">
        <v>6.0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12"/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</row>
    <row r="27" ht="13.5" customHeight="1">
      <c r="A27" s="2">
        <v>25.0</v>
      </c>
      <c r="B27" s="2">
        <v>10.0</v>
      </c>
      <c r="D27" s="2">
        <v>10.0</v>
      </c>
      <c r="E27" s="12"/>
      <c r="F27" s="2">
        <v>10.0</v>
      </c>
      <c r="G27" s="2">
        <v>10.0</v>
      </c>
      <c r="H27" s="2">
        <v>10.0</v>
      </c>
      <c r="I27" s="2">
        <v>10.0</v>
      </c>
      <c r="J27" s="2">
        <v>10.0</v>
      </c>
      <c r="K27" s="2">
        <v>10.0</v>
      </c>
      <c r="L27" s="2">
        <v>10.0</v>
      </c>
      <c r="M27" s="2">
        <v>10.0</v>
      </c>
      <c r="N27" s="2">
        <v>10.0</v>
      </c>
      <c r="O27" s="2">
        <v>10.0</v>
      </c>
      <c r="P27" s="2">
        <v>10.0</v>
      </c>
      <c r="Q27" s="2">
        <v>10.0</v>
      </c>
      <c r="R27" s="2">
        <v>10.0</v>
      </c>
    </row>
    <row r="28" ht="13.5" customHeight="1">
      <c r="A28" s="2">
        <v>26.0</v>
      </c>
      <c r="B28" s="2">
        <v>10.0</v>
      </c>
      <c r="D28" s="2">
        <v>10.0</v>
      </c>
      <c r="E28" s="12"/>
      <c r="F28" s="2">
        <v>10.0</v>
      </c>
      <c r="G28" s="2">
        <v>10.0</v>
      </c>
      <c r="H28" s="2">
        <v>10.0</v>
      </c>
      <c r="I28" s="2">
        <v>10.0</v>
      </c>
      <c r="J28" s="2">
        <v>10.0</v>
      </c>
      <c r="K28" s="2">
        <v>10.0</v>
      </c>
      <c r="L28" s="2">
        <v>10.0</v>
      </c>
      <c r="M28" s="2">
        <v>10.0</v>
      </c>
      <c r="N28" s="2">
        <v>10.0</v>
      </c>
      <c r="O28" s="3" t="s">
        <v>26</v>
      </c>
      <c r="P28" s="2">
        <v>10.0</v>
      </c>
      <c r="Q28" s="2">
        <v>10.0</v>
      </c>
      <c r="R28" s="2">
        <v>10.0</v>
      </c>
    </row>
    <row r="29" ht="13.5" customHeight="1">
      <c r="A29" s="2">
        <v>27.0</v>
      </c>
      <c r="B29" s="2">
        <v>10.0</v>
      </c>
      <c r="D29" s="2">
        <v>10.0</v>
      </c>
      <c r="E29" s="12"/>
      <c r="F29" s="2">
        <v>10.0</v>
      </c>
      <c r="G29" s="2">
        <v>10.0</v>
      </c>
      <c r="H29" s="2">
        <v>10.0</v>
      </c>
      <c r="I29" s="2">
        <v>10.0</v>
      </c>
      <c r="J29" s="2">
        <v>10.0</v>
      </c>
      <c r="K29" s="2">
        <v>10.0</v>
      </c>
      <c r="L29" s="2">
        <v>10.0</v>
      </c>
      <c r="M29" s="2">
        <v>10.0</v>
      </c>
      <c r="N29" s="2">
        <v>10.0</v>
      </c>
      <c r="O29" s="2">
        <v>10.0</v>
      </c>
      <c r="P29" s="2">
        <v>10.0</v>
      </c>
      <c r="Q29" s="2">
        <v>10.0</v>
      </c>
      <c r="R29" s="2">
        <v>10.0</v>
      </c>
    </row>
    <row r="30" ht="13.5" customHeight="1">
      <c r="A30" s="2">
        <v>28.0</v>
      </c>
      <c r="B30" s="2">
        <v>10.0</v>
      </c>
      <c r="C30" s="13" t="s">
        <v>47</v>
      </c>
      <c r="D30" s="2">
        <v>10.0</v>
      </c>
      <c r="E30" s="12"/>
      <c r="F30" s="2">
        <v>10.0</v>
      </c>
      <c r="G30" s="2">
        <v>10.0</v>
      </c>
      <c r="H30" s="2">
        <v>10.0</v>
      </c>
      <c r="I30" s="2">
        <v>10.0</v>
      </c>
      <c r="J30" s="2">
        <v>10.0</v>
      </c>
      <c r="K30" s="2">
        <v>10.0</v>
      </c>
      <c r="L30" s="2">
        <v>10.0</v>
      </c>
      <c r="M30" s="2">
        <v>10.0</v>
      </c>
      <c r="N30" s="2">
        <v>10.0</v>
      </c>
      <c r="O30" s="2">
        <v>10.0</v>
      </c>
      <c r="P30" s="2">
        <v>10.0</v>
      </c>
      <c r="Q30" s="2">
        <v>10.0</v>
      </c>
      <c r="R30" s="2">
        <v>10.0</v>
      </c>
    </row>
    <row r="31" ht="13.5" customHeight="1">
      <c r="A31" s="2">
        <v>29.0</v>
      </c>
      <c r="B31" s="2">
        <v>10.0</v>
      </c>
      <c r="C31" s="13" t="s">
        <v>48</v>
      </c>
      <c r="D31" s="2">
        <v>10.0</v>
      </c>
      <c r="E31" s="12"/>
      <c r="F31" s="2">
        <v>10.0</v>
      </c>
      <c r="G31" s="2">
        <v>10.0</v>
      </c>
      <c r="H31" s="2">
        <v>10.0</v>
      </c>
      <c r="I31" s="2">
        <v>10.0</v>
      </c>
      <c r="J31" s="2">
        <v>10.0</v>
      </c>
      <c r="K31" s="2">
        <v>10.0</v>
      </c>
      <c r="L31" s="2">
        <v>10.0</v>
      </c>
      <c r="M31" s="2">
        <v>10.0</v>
      </c>
      <c r="N31" s="2">
        <v>10.0</v>
      </c>
      <c r="O31" s="2">
        <v>10.0</v>
      </c>
      <c r="P31" s="2">
        <v>10.0</v>
      </c>
      <c r="Q31" s="2">
        <v>10.0</v>
      </c>
      <c r="R31" s="2">
        <v>10.0</v>
      </c>
    </row>
    <row r="32" ht="13.5" customHeight="1">
      <c r="A32" s="2">
        <v>30.0</v>
      </c>
      <c r="B32" s="2">
        <v>6.0</v>
      </c>
      <c r="C32" s="12"/>
      <c r="D32" s="2">
        <v>6.0</v>
      </c>
      <c r="E32" s="12"/>
      <c r="F32" s="2">
        <v>6.0</v>
      </c>
      <c r="G32" s="2">
        <v>6.0</v>
      </c>
      <c r="H32" s="2">
        <v>6.0</v>
      </c>
      <c r="I32" s="2">
        <v>6.0</v>
      </c>
      <c r="J32" s="2">
        <v>6.0</v>
      </c>
      <c r="K32" s="2">
        <v>6.0</v>
      </c>
      <c r="L32" s="2">
        <v>6.0</v>
      </c>
      <c r="M32" s="2">
        <v>6.0</v>
      </c>
      <c r="N32" s="2">
        <v>6.0</v>
      </c>
      <c r="O32" s="2">
        <v>6.0</v>
      </c>
      <c r="P32" s="2">
        <v>6.0</v>
      </c>
      <c r="Q32" s="2">
        <v>6.0</v>
      </c>
      <c r="R32" s="2">
        <v>6.0</v>
      </c>
    </row>
    <row r="33" ht="13.5" customHeight="1">
      <c r="A33" s="3" t="s">
        <v>9</v>
      </c>
      <c r="B33" s="3" t="s">
        <v>5</v>
      </c>
      <c r="C33" s="12"/>
      <c r="D33" s="3" t="s">
        <v>5</v>
      </c>
      <c r="E33" s="12"/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</row>
    <row r="34" ht="13.5" customHeight="1">
      <c r="A34" s="3" t="s">
        <v>11</v>
      </c>
      <c r="B34" s="2">
        <f t="shared" ref="B34:R34" si="1">SUM(B3:B33)</f>
        <v>214</v>
      </c>
      <c r="C34" s="2">
        <f t="shared" si="1"/>
        <v>112</v>
      </c>
      <c r="D34" s="2">
        <f t="shared" si="1"/>
        <v>224</v>
      </c>
      <c r="E34" s="2">
        <f t="shared" si="1"/>
        <v>112</v>
      </c>
      <c r="F34" s="2">
        <f t="shared" si="1"/>
        <v>214</v>
      </c>
      <c r="G34" s="2">
        <f t="shared" si="1"/>
        <v>214</v>
      </c>
      <c r="H34" s="2">
        <f t="shared" si="1"/>
        <v>224</v>
      </c>
      <c r="I34" s="2">
        <f t="shared" si="1"/>
        <v>214</v>
      </c>
      <c r="J34" s="2">
        <f t="shared" si="1"/>
        <v>224</v>
      </c>
      <c r="K34" s="2">
        <f t="shared" si="1"/>
        <v>224</v>
      </c>
      <c r="L34" s="2">
        <f t="shared" si="1"/>
        <v>224</v>
      </c>
      <c r="M34" s="2">
        <f t="shared" si="1"/>
        <v>214</v>
      </c>
      <c r="N34" s="2">
        <f t="shared" si="1"/>
        <v>224</v>
      </c>
      <c r="O34" s="2">
        <f t="shared" si="1"/>
        <v>204</v>
      </c>
      <c r="P34" s="2">
        <f t="shared" si="1"/>
        <v>198</v>
      </c>
      <c r="Q34" s="2">
        <f t="shared" si="1"/>
        <v>224</v>
      </c>
      <c r="R34" s="2">
        <f t="shared" si="1"/>
        <v>224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9.25"/>
    <col customWidth="1" min="3" max="26" width="8.63"/>
  </cols>
  <sheetData>
    <row r="1" ht="13.5" customHeight="1">
      <c r="A1" s="3" t="s">
        <v>15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</row>
    <row r="2" ht="13.5" customHeight="1">
      <c r="B2" s="2" t="s">
        <v>97</v>
      </c>
      <c r="C2" s="2" t="s">
        <v>98</v>
      </c>
      <c r="D2" s="2" t="s">
        <v>99</v>
      </c>
      <c r="E2" s="2" t="s">
        <v>100</v>
      </c>
      <c r="F2" s="2" t="s">
        <v>45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76</v>
      </c>
      <c r="N2" s="2" t="s">
        <v>107</v>
      </c>
      <c r="O2" s="2" t="s">
        <v>108</v>
      </c>
      <c r="P2" s="2" t="s">
        <v>18</v>
      </c>
      <c r="Q2" s="2" t="s">
        <v>109</v>
      </c>
    </row>
    <row r="3" ht="13.5" customHeight="1">
      <c r="A3" s="2">
        <v>1.0</v>
      </c>
      <c r="B3" s="2">
        <v>10.0</v>
      </c>
      <c r="C3" s="2">
        <v>10.0</v>
      </c>
      <c r="D3" s="3" t="s">
        <v>110</v>
      </c>
      <c r="E3" s="3" t="s">
        <v>110</v>
      </c>
      <c r="F3" s="3" t="s">
        <v>110</v>
      </c>
      <c r="G3" s="3" t="s">
        <v>110</v>
      </c>
      <c r="H3" s="3" t="s">
        <v>110</v>
      </c>
      <c r="I3" s="2">
        <v>10.0</v>
      </c>
      <c r="J3" s="3" t="s">
        <v>110</v>
      </c>
      <c r="K3" s="3" t="s">
        <v>110</v>
      </c>
      <c r="L3" s="3" t="s">
        <v>110</v>
      </c>
      <c r="M3" s="3" t="s">
        <v>110</v>
      </c>
      <c r="N3" s="3" t="s">
        <v>110</v>
      </c>
      <c r="O3" s="3" t="s">
        <v>110</v>
      </c>
      <c r="P3" s="3" t="s">
        <v>110</v>
      </c>
      <c r="Q3" s="3" t="s">
        <v>111</v>
      </c>
    </row>
    <row r="4" ht="13.5" customHeight="1">
      <c r="A4" s="2">
        <v>2.0</v>
      </c>
      <c r="B4" s="2">
        <v>7.0</v>
      </c>
      <c r="C4" s="2">
        <v>7.0</v>
      </c>
      <c r="D4" s="2">
        <v>7.0</v>
      </c>
      <c r="E4" s="2">
        <v>7.0</v>
      </c>
      <c r="F4" s="2">
        <v>7.0</v>
      </c>
      <c r="G4" s="2">
        <v>7.0</v>
      </c>
      <c r="H4" s="2">
        <v>7.0</v>
      </c>
      <c r="I4" s="2">
        <v>7.0</v>
      </c>
      <c r="J4" s="2">
        <v>7.0</v>
      </c>
      <c r="K4" s="2">
        <v>7.0</v>
      </c>
      <c r="L4" s="2">
        <v>7.0</v>
      </c>
      <c r="M4" s="2">
        <v>7.0</v>
      </c>
      <c r="N4" s="2">
        <v>7.0</v>
      </c>
      <c r="O4" s="2">
        <v>7.0</v>
      </c>
      <c r="P4" s="2">
        <v>7.0</v>
      </c>
      <c r="Q4" s="3" t="s">
        <v>111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</row>
    <row r="6" ht="13.5" customHeight="1">
      <c r="A6" s="2">
        <v>4.0</v>
      </c>
      <c r="B6" s="2">
        <v>8.0</v>
      </c>
      <c r="C6" s="2">
        <v>8.0</v>
      </c>
      <c r="D6" s="2">
        <v>11.0</v>
      </c>
      <c r="E6" s="2">
        <v>11.0</v>
      </c>
      <c r="F6" s="2">
        <v>10.0</v>
      </c>
      <c r="G6" s="2">
        <v>11.0</v>
      </c>
      <c r="H6" s="2">
        <v>11.0</v>
      </c>
      <c r="I6" s="2">
        <v>8.0</v>
      </c>
      <c r="J6" s="2">
        <v>11.0</v>
      </c>
      <c r="K6" s="2">
        <v>11.0</v>
      </c>
      <c r="L6" s="2">
        <v>11.0</v>
      </c>
      <c r="M6" s="2">
        <v>11.0</v>
      </c>
      <c r="N6" s="2">
        <v>11.0</v>
      </c>
      <c r="O6" s="2">
        <v>11.0</v>
      </c>
      <c r="P6" s="2">
        <v>11.0</v>
      </c>
      <c r="Q6" s="3" t="s">
        <v>111</v>
      </c>
    </row>
    <row r="7" ht="13.5" customHeight="1">
      <c r="A7" s="2">
        <v>5.0</v>
      </c>
      <c r="B7" s="2">
        <v>10.0</v>
      </c>
      <c r="C7" s="2">
        <v>10.0</v>
      </c>
      <c r="D7" s="2">
        <v>11.0</v>
      </c>
      <c r="E7" s="2">
        <v>11.0</v>
      </c>
      <c r="F7" s="2">
        <v>10.0</v>
      </c>
      <c r="G7" s="2">
        <v>11.0</v>
      </c>
      <c r="H7" s="2">
        <v>10.0</v>
      </c>
      <c r="I7" s="2">
        <v>10.0</v>
      </c>
      <c r="J7" s="2">
        <v>11.0</v>
      </c>
      <c r="K7" s="2">
        <v>11.0</v>
      </c>
      <c r="L7" s="2">
        <v>11.0</v>
      </c>
      <c r="M7" s="2">
        <v>11.0</v>
      </c>
      <c r="N7" s="2">
        <v>11.0</v>
      </c>
      <c r="O7" s="2">
        <v>11.0</v>
      </c>
      <c r="P7" s="2">
        <v>11.0</v>
      </c>
      <c r="Q7" s="3" t="s">
        <v>111</v>
      </c>
    </row>
    <row r="8" ht="13.5" customHeight="1">
      <c r="A8" s="2">
        <v>6.0</v>
      </c>
      <c r="B8" s="2">
        <v>10.0</v>
      </c>
      <c r="C8" s="2">
        <v>10.0</v>
      </c>
      <c r="D8" s="2">
        <v>10.0</v>
      </c>
      <c r="E8" s="2">
        <v>10.0</v>
      </c>
      <c r="F8" s="2">
        <v>10.0</v>
      </c>
      <c r="G8" s="3" t="s">
        <v>26</v>
      </c>
      <c r="H8" s="2">
        <v>10.0</v>
      </c>
      <c r="I8" s="2">
        <v>10.0</v>
      </c>
      <c r="J8" s="2">
        <v>10.0</v>
      </c>
      <c r="K8" s="2">
        <v>10.0</v>
      </c>
      <c r="L8" s="2">
        <v>10.0</v>
      </c>
      <c r="M8" s="2">
        <v>10.0</v>
      </c>
      <c r="N8" s="2">
        <v>10.0</v>
      </c>
      <c r="O8" s="3" t="s">
        <v>26</v>
      </c>
      <c r="P8" s="2">
        <v>10.0</v>
      </c>
      <c r="Q8" s="3" t="s">
        <v>111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3" t="s">
        <v>26</v>
      </c>
      <c r="F9" s="2">
        <v>10.0</v>
      </c>
      <c r="G9" s="2">
        <v>10.0</v>
      </c>
      <c r="H9" s="2">
        <v>10.0</v>
      </c>
      <c r="I9" s="2">
        <v>10.0</v>
      </c>
      <c r="J9" s="2">
        <v>10.0</v>
      </c>
      <c r="K9" s="2">
        <v>10.0</v>
      </c>
      <c r="L9" s="2">
        <v>10.0</v>
      </c>
      <c r="M9" s="2">
        <v>10.0</v>
      </c>
      <c r="N9" s="2">
        <v>10.0</v>
      </c>
      <c r="O9" s="2">
        <v>10.0</v>
      </c>
      <c r="P9" s="2">
        <v>10.0</v>
      </c>
      <c r="Q9" s="3" t="s">
        <v>111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  <c r="F10" s="2">
        <v>10.0</v>
      </c>
      <c r="G10" s="2">
        <v>10.0</v>
      </c>
      <c r="H10" s="2">
        <v>10.0</v>
      </c>
      <c r="I10" s="2">
        <v>10.0</v>
      </c>
      <c r="J10" s="2">
        <v>10.0</v>
      </c>
      <c r="K10" s="2">
        <v>10.0</v>
      </c>
      <c r="L10" s="2">
        <v>10.0</v>
      </c>
      <c r="M10" s="2">
        <v>10.0</v>
      </c>
      <c r="N10" s="2">
        <v>10.0</v>
      </c>
      <c r="O10" s="2">
        <v>10.0</v>
      </c>
      <c r="P10" s="2">
        <v>10.0</v>
      </c>
      <c r="Q10" s="3" t="s">
        <v>111</v>
      </c>
    </row>
    <row r="11" ht="13.5" customHeight="1">
      <c r="A11" s="2">
        <v>9.0</v>
      </c>
      <c r="B11" s="3" t="s">
        <v>110</v>
      </c>
      <c r="C11" s="3" t="s">
        <v>110</v>
      </c>
      <c r="D11" s="3" t="s">
        <v>110</v>
      </c>
      <c r="E11" s="3" t="s">
        <v>110</v>
      </c>
      <c r="F11" s="3" t="s">
        <v>110</v>
      </c>
      <c r="G11" s="3" t="s">
        <v>110</v>
      </c>
      <c r="H11" s="3" t="s">
        <v>110</v>
      </c>
      <c r="I11" s="3" t="s">
        <v>110</v>
      </c>
      <c r="J11" s="3" t="s">
        <v>110</v>
      </c>
      <c r="K11" s="3" t="s">
        <v>110</v>
      </c>
      <c r="L11" s="3" t="s">
        <v>110</v>
      </c>
      <c r="M11" s="3" t="s">
        <v>110</v>
      </c>
      <c r="N11" s="3" t="s">
        <v>110</v>
      </c>
      <c r="O11" s="3" t="s">
        <v>110</v>
      </c>
      <c r="P11" s="3" t="s">
        <v>110</v>
      </c>
      <c r="Q11" s="3" t="s">
        <v>111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3" t="s">
        <v>26</v>
      </c>
      <c r="E13" s="2">
        <v>10.0</v>
      </c>
      <c r="F13" s="2">
        <v>10.0</v>
      </c>
      <c r="G13" s="2">
        <v>10.0</v>
      </c>
      <c r="H13" s="2">
        <v>10.0</v>
      </c>
      <c r="I13" s="2">
        <v>10.0</v>
      </c>
      <c r="J13" s="2">
        <v>10.0</v>
      </c>
      <c r="K13" s="2">
        <v>10.0</v>
      </c>
      <c r="L13" s="2">
        <v>10.0</v>
      </c>
      <c r="M13" s="2">
        <v>10.0</v>
      </c>
      <c r="N13" s="2">
        <v>10.0</v>
      </c>
      <c r="O13" s="2">
        <v>10.0</v>
      </c>
      <c r="P13" s="2">
        <v>10.0</v>
      </c>
      <c r="Q13" s="3" t="s">
        <v>111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  <c r="F14" s="2">
        <v>10.0</v>
      </c>
      <c r="G14" s="2">
        <v>10.0</v>
      </c>
      <c r="H14" s="2">
        <v>10.0</v>
      </c>
      <c r="I14" s="2">
        <v>10.0</v>
      </c>
      <c r="J14" s="2">
        <v>10.0</v>
      </c>
      <c r="K14" s="2">
        <v>10.0</v>
      </c>
      <c r="L14" s="2">
        <v>10.0</v>
      </c>
      <c r="M14" s="2">
        <v>10.0</v>
      </c>
      <c r="N14" s="2">
        <v>10.0</v>
      </c>
      <c r="O14" s="2">
        <v>10.0</v>
      </c>
      <c r="P14" s="2">
        <v>10.0</v>
      </c>
      <c r="Q14" s="3" t="s">
        <v>111</v>
      </c>
    </row>
    <row r="15" ht="13.5" customHeight="1">
      <c r="A15" s="2">
        <v>13.0</v>
      </c>
      <c r="B15" s="3" t="s">
        <v>110</v>
      </c>
      <c r="C15" s="3" t="s">
        <v>110</v>
      </c>
      <c r="D15" s="3" t="s">
        <v>110</v>
      </c>
      <c r="E15" s="3" t="s">
        <v>110</v>
      </c>
      <c r="F15" s="3" t="s">
        <v>110</v>
      </c>
      <c r="G15" s="3" t="s">
        <v>110</v>
      </c>
      <c r="H15" s="3" t="s">
        <v>110</v>
      </c>
      <c r="I15" s="3" t="s">
        <v>110</v>
      </c>
      <c r="J15" s="3" t="s">
        <v>110</v>
      </c>
      <c r="K15" s="3" t="s">
        <v>110</v>
      </c>
      <c r="L15" s="3" t="s">
        <v>110</v>
      </c>
      <c r="M15" s="3" t="s">
        <v>110</v>
      </c>
      <c r="N15" s="3" t="s">
        <v>110</v>
      </c>
      <c r="O15" s="3" t="s">
        <v>110</v>
      </c>
      <c r="P15" s="3" t="s">
        <v>110</v>
      </c>
      <c r="Q15" s="3" t="s">
        <v>111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  <c r="F16" s="2">
        <v>10.0</v>
      </c>
      <c r="G16" s="2">
        <v>10.0</v>
      </c>
      <c r="H16" s="2">
        <v>10.0</v>
      </c>
      <c r="I16" s="2">
        <v>10.0</v>
      </c>
      <c r="J16" s="2">
        <v>10.0</v>
      </c>
      <c r="K16" s="3" t="s">
        <v>26</v>
      </c>
      <c r="L16" s="2">
        <v>10.0</v>
      </c>
      <c r="M16" s="2">
        <v>10.0</v>
      </c>
      <c r="N16" s="2">
        <v>10.0</v>
      </c>
      <c r="O16" s="2">
        <v>10.0</v>
      </c>
      <c r="P16" s="2">
        <v>10.0</v>
      </c>
      <c r="Q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  <c r="F17" s="2">
        <v>10.0</v>
      </c>
      <c r="G17" s="2">
        <v>10.0</v>
      </c>
      <c r="H17" s="2">
        <v>10.0</v>
      </c>
      <c r="I17" s="2">
        <v>10.0</v>
      </c>
      <c r="J17" s="2">
        <v>10.0</v>
      </c>
      <c r="K17" s="3" t="s">
        <v>26</v>
      </c>
      <c r="L17" s="2">
        <v>10.0</v>
      </c>
      <c r="M17" s="2">
        <v>10.0</v>
      </c>
      <c r="N17" s="2">
        <v>10.0</v>
      </c>
      <c r="O17" s="2">
        <v>10.0</v>
      </c>
      <c r="P17" s="2">
        <v>10.0</v>
      </c>
      <c r="Q17" s="2">
        <v>10.0</v>
      </c>
    </row>
    <row r="18" ht="13.5" customHeight="1">
      <c r="A18" s="2">
        <v>16.0</v>
      </c>
      <c r="C18" s="2">
        <v>7.0</v>
      </c>
      <c r="D18" s="2">
        <v>7.0</v>
      </c>
      <c r="E18" s="2">
        <v>7.0</v>
      </c>
      <c r="G18" s="2">
        <v>7.0</v>
      </c>
      <c r="J18" s="2">
        <v>7.0</v>
      </c>
      <c r="K18" s="3" t="s">
        <v>26</v>
      </c>
      <c r="L18" s="2">
        <v>7.0</v>
      </c>
      <c r="M18" s="2">
        <v>7.0</v>
      </c>
      <c r="N18" s="2">
        <v>7.0</v>
      </c>
      <c r="P18" s="2">
        <v>7.0</v>
      </c>
      <c r="Q18" s="2">
        <v>7.0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4.0</v>
      </c>
      <c r="F20" s="2">
        <v>10.0</v>
      </c>
      <c r="G20" s="2">
        <v>10.0</v>
      </c>
      <c r="H20" s="2">
        <v>10.0</v>
      </c>
      <c r="I20" s="2">
        <v>10.0</v>
      </c>
      <c r="J20" s="2">
        <v>10.0</v>
      </c>
      <c r="K20" s="2">
        <v>10.0</v>
      </c>
      <c r="L20" s="2">
        <v>10.0</v>
      </c>
      <c r="M20" s="2">
        <v>10.0</v>
      </c>
      <c r="N20" s="2">
        <v>10.0</v>
      </c>
      <c r="O20" s="2">
        <v>10.0</v>
      </c>
      <c r="P20" s="2">
        <v>10.0</v>
      </c>
      <c r="Q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4.0</v>
      </c>
      <c r="F21" s="2">
        <v>10.0</v>
      </c>
      <c r="G21" s="2">
        <v>10.0</v>
      </c>
      <c r="H21" s="2">
        <v>10.0</v>
      </c>
      <c r="I21" s="2">
        <v>10.0</v>
      </c>
      <c r="J21" s="2">
        <v>10.0</v>
      </c>
      <c r="K21" s="2">
        <v>10.0</v>
      </c>
      <c r="L21" s="2">
        <v>10.0</v>
      </c>
      <c r="M21" s="2">
        <v>10.0</v>
      </c>
      <c r="N21" s="2">
        <v>10.0</v>
      </c>
      <c r="O21" s="2">
        <v>10.0</v>
      </c>
      <c r="P21" s="2">
        <v>10.0</v>
      </c>
      <c r="Q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  <c r="F22" s="2">
        <v>10.0</v>
      </c>
      <c r="G22" s="2">
        <v>10.0</v>
      </c>
      <c r="H22" s="2">
        <v>10.0</v>
      </c>
      <c r="I22" s="2">
        <v>10.0</v>
      </c>
      <c r="J22" s="2">
        <v>10.0</v>
      </c>
      <c r="K22" s="2">
        <v>10.0</v>
      </c>
      <c r="L22" s="2">
        <v>10.0</v>
      </c>
      <c r="M22" s="2">
        <v>10.0</v>
      </c>
      <c r="N22" s="2">
        <v>10.0</v>
      </c>
      <c r="O22" s="2">
        <v>10.0</v>
      </c>
      <c r="P22" s="2">
        <v>10.0</v>
      </c>
      <c r="Q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  <c r="F23" s="2">
        <v>10.0</v>
      </c>
      <c r="G23" s="2">
        <v>10.0</v>
      </c>
      <c r="H23" s="2">
        <v>10.0</v>
      </c>
      <c r="I23" s="2">
        <v>10.0</v>
      </c>
      <c r="J23" s="2">
        <v>10.0</v>
      </c>
      <c r="K23" s="2">
        <v>10.0</v>
      </c>
      <c r="L23" s="2">
        <v>10.0</v>
      </c>
      <c r="M23" s="2">
        <v>10.0</v>
      </c>
      <c r="N23" s="2">
        <v>10.0</v>
      </c>
      <c r="O23" s="3" t="s">
        <v>26</v>
      </c>
      <c r="P23" s="2">
        <v>10.0</v>
      </c>
      <c r="Q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10.0</v>
      </c>
      <c r="F24" s="2">
        <v>11.0</v>
      </c>
      <c r="G24" s="2">
        <v>10.0</v>
      </c>
      <c r="H24" s="2">
        <v>10.0</v>
      </c>
      <c r="I24" s="2">
        <v>10.0</v>
      </c>
      <c r="J24" s="2">
        <v>10.0</v>
      </c>
      <c r="K24" s="2">
        <v>10.0</v>
      </c>
      <c r="L24" s="2">
        <v>10.0</v>
      </c>
      <c r="M24" s="2">
        <v>10.0</v>
      </c>
      <c r="N24" s="2">
        <v>10.0</v>
      </c>
      <c r="O24" s="2">
        <v>10.0</v>
      </c>
      <c r="P24" s="2">
        <v>10.0</v>
      </c>
      <c r="Q24" s="2">
        <v>10.0</v>
      </c>
    </row>
    <row r="25" ht="13.5" customHeight="1">
      <c r="A25" s="2">
        <v>23.0</v>
      </c>
      <c r="B25" s="2">
        <v>7.0</v>
      </c>
      <c r="C25" s="2">
        <v>7.0</v>
      </c>
      <c r="D25" s="2">
        <v>7.0</v>
      </c>
      <c r="E25" s="2">
        <v>7.0</v>
      </c>
      <c r="F25" s="2">
        <v>7.0</v>
      </c>
      <c r="G25" s="2">
        <v>7.0</v>
      </c>
      <c r="H25" s="2">
        <v>7.0</v>
      </c>
      <c r="I25" s="2">
        <v>7.0</v>
      </c>
      <c r="J25" s="2">
        <v>7.0</v>
      </c>
      <c r="K25" s="2">
        <v>7.0</v>
      </c>
      <c r="L25" s="2">
        <v>7.0</v>
      </c>
      <c r="M25" s="2">
        <v>7.0</v>
      </c>
      <c r="N25" s="2">
        <v>7.0</v>
      </c>
      <c r="O25" s="2">
        <v>7.0</v>
      </c>
      <c r="P25" s="2">
        <v>7.0</v>
      </c>
      <c r="Q25" s="2">
        <v>7.0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5.0</v>
      </c>
      <c r="F27" s="2">
        <v>10.0</v>
      </c>
      <c r="G27" s="2">
        <v>10.0</v>
      </c>
      <c r="H27" s="2">
        <v>10.0</v>
      </c>
      <c r="I27" s="2">
        <v>10.0</v>
      </c>
      <c r="J27" s="2">
        <v>10.0</v>
      </c>
      <c r="K27" s="2">
        <v>10.0</v>
      </c>
      <c r="L27" s="2">
        <v>10.0</v>
      </c>
      <c r="M27" s="2">
        <v>11.0</v>
      </c>
      <c r="N27" s="2">
        <v>10.0</v>
      </c>
      <c r="O27" s="2">
        <v>10.0</v>
      </c>
      <c r="P27" s="2">
        <v>10.0</v>
      </c>
      <c r="Q27" s="2">
        <v>10.0</v>
      </c>
    </row>
    <row r="28" ht="13.5" customHeight="1">
      <c r="A28" s="2">
        <v>26.0</v>
      </c>
      <c r="B28" s="2">
        <v>12.0</v>
      </c>
      <c r="C28" s="2">
        <v>12.0</v>
      </c>
      <c r="D28" s="2">
        <v>12.0</v>
      </c>
      <c r="E28" s="2">
        <v>12.0</v>
      </c>
      <c r="F28" s="2">
        <v>10.0</v>
      </c>
      <c r="G28" s="2">
        <v>12.0</v>
      </c>
      <c r="H28" s="2">
        <v>10.0</v>
      </c>
      <c r="I28" s="2">
        <v>10.0</v>
      </c>
      <c r="J28" s="2">
        <v>12.0</v>
      </c>
      <c r="K28" s="2">
        <v>12.0</v>
      </c>
      <c r="L28" s="2">
        <v>10.0</v>
      </c>
      <c r="M28" s="2">
        <v>12.0</v>
      </c>
      <c r="N28" s="2">
        <v>10.0</v>
      </c>
      <c r="O28" s="2">
        <v>12.0</v>
      </c>
      <c r="P28" s="2">
        <v>12.0</v>
      </c>
      <c r="Q28" s="2">
        <v>12.0</v>
      </c>
    </row>
    <row r="29" ht="13.5" customHeight="1">
      <c r="A29" s="2">
        <v>27.0</v>
      </c>
      <c r="B29" s="2">
        <v>12.0</v>
      </c>
      <c r="C29" s="2">
        <v>12.0</v>
      </c>
      <c r="D29" s="2">
        <v>12.0</v>
      </c>
      <c r="E29" s="2">
        <v>12.0</v>
      </c>
      <c r="F29" s="2">
        <v>10.0</v>
      </c>
      <c r="G29" s="2">
        <v>12.0</v>
      </c>
      <c r="H29" s="2">
        <v>10.0</v>
      </c>
      <c r="I29" s="2">
        <v>10.0</v>
      </c>
      <c r="J29" s="2">
        <v>12.0</v>
      </c>
      <c r="K29" s="2">
        <v>12.0</v>
      </c>
      <c r="L29" s="2">
        <v>10.0</v>
      </c>
      <c r="M29" s="2">
        <v>12.0</v>
      </c>
      <c r="N29" s="2">
        <v>10.0</v>
      </c>
      <c r="O29" s="2">
        <v>12.0</v>
      </c>
      <c r="P29" s="2">
        <v>12.0</v>
      </c>
      <c r="Q29" s="2">
        <v>12.0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  <c r="F30" s="2">
        <v>10.0</v>
      </c>
      <c r="G30" s="2">
        <v>10.0</v>
      </c>
      <c r="H30" s="2">
        <v>10.0</v>
      </c>
      <c r="I30" s="2">
        <v>10.0</v>
      </c>
      <c r="J30" s="2">
        <v>10.0</v>
      </c>
      <c r="K30" s="2">
        <v>10.0</v>
      </c>
      <c r="L30" s="2">
        <v>10.0</v>
      </c>
      <c r="M30" s="2">
        <v>10.0</v>
      </c>
      <c r="N30" s="2">
        <v>12.0</v>
      </c>
      <c r="O30" s="2">
        <v>10.0</v>
      </c>
      <c r="P30" s="2">
        <v>10.0</v>
      </c>
      <c r="Q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6.0</v>
      </c>
      <c r="F31" s="2">
        <v>10.0</v>
      </c>
      <c r="G31" s="2">
        <v>10.0</v>
      </c>
      <c r="H31" s="2">
        <v>10.0</v>
      </c>
      <c r="I31" s="2">
        <v>10.0</v>
      </c>
      <c r="J31" s="2">
        <v>10.0</v>
      </c>
      <c r="K31" s="2">
        <v>10.0</v>
      </c>
      <c r="L31" s="2">
        <v>10.0</v>
      </c>
      <c r="M31" s="2">
        <v>10.0</v>
      </c>
      <c r="N31" s="2">
        <v>10.0</v>
      </c>
      <c r="O31" s="2">
        <v>10.0</v>
      </c>
      <c r="P31" s="2">
        <v>10.0</v>
      </c>
      <c r="Q31" s="2">
        <v>10.0</v>
      </c>
    </row>
    <row r="32" ht="13.5" customHeight="1">
      <c r="A32" s="2">
        <v>30.0</v>
      </c>
      <c r="B32" s="2">
        <v>7.0</v>
      </c>
      <c r="C32" s="2">
        <v>7.0</v>
      </c>
      <c r="D32" s="2">
        <v>7.0</v>
      </c>
      <c r="E32" s="2">
        <v>7.0</v>
      </c>
      <c r="F32" s="2">
        <v>7.0</v>
      </c>
      <c r="G32" s="2">
        <v>7.0</v>
      </c>
      <c r="H32" s="2">
        <v>7.0</v>
      </c>
      <c r="I32" s="2">
        <v>7.0</v>
      </c>
      <c r="J32" s="2">
        <v>7.0</v>
      </c>
      <c r="K32" s="2">
        <v>7.0</v>
      </c>
      <c r="L32" s="2">
        <v>7.0</v>
      </c>
      <c r="M32" s="2">
        <v>7.0</v>
      </c>
      <c r="N32" s="2">
        <v>7.0</v>
      </c>
      <c r="O32" s="2">
        <v>7.0</v>
      </c>
      <c r="P32" s="2">
        <v>7.0</v>
      </c>
      <c r="Q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</row>
    <row r="34" ht="13.5" customHeight="1">
      <c r="A34" s="3" t="s">
        <v>11</v>
      </c>
      <c r="B34" s="17">
        <f t="shared" ref="B34:Q34" si="1">SUM(B3:B33)</f>
        <v>223</v>
      </c>
      <c r="C34" s="17">
        <f t="shared" si="1"/>
        <v>230</v>
      </c>
      <c r="D34" s="17">
        <f t="shared" si="1"/>
        <v>214</v>
      </c>
      <c r="E34" s="17">
        <f t="shared" si="1"/>
        <v>193</v>
      </c>
      <c r="F34" s="17">
        <f t="shared" si="1"/>
        <v>212</v>
      </c>
      <c r="G34" s="17">
        <f t="shared" si="1"/>
        <v>214</v>
      </c>
      <c r="H34" s="17">
        <f t="shared" si="1"/>
        <v>212</v>
      </c>
      <c r="I34" s="17">
        <f t="shared" si="1"/>
        <v>219</v>
      </c>
      <c r="J34" s="17">
        <f t="shared" si="1"/>
        <v>224</v>
      </c>
      <c r="K34" s="17">
        <f t="shared" si="1"/>
        <v>197</v>
      </c>
      <c r="L34" s="17">
        <f t="shared" si="1"/>
        <v>220</v>
      </c>
      <c r="M34" s="17">
        <f t="shared" si="1"/>
        <v>225</v>
      </c>
      <c r="N34" s="17">
        <f t="shared" si="1"/>
        <v>222</v>
      </c>
      <c r="O34" s="17">
        <f t="shared" si="1"/>
        <v>197</v>
      </c>
      <c r="P34" s="17">
        <f t="shared" si="1"/>
        <v>224</v>
      </c>
      <c r="Q34" s="17">
        <f t="shared" si="1"/>
        <v>145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14" t="s">
        <v>112</v>
      </c>
    </row>
    <row r="2" ht="13.5" customHeight="1">
      <c r="B2" s="2" t="s">
        <v>113</v>
      </c>
    </row>
    <row r="3" ht="13.5" customHeight="1">
      <c r="A3" s="2">
        <v>1.0</v>
      </c>
      <c r="B3" s="2">
        <v>7.5</v>
      </c>
    </row>
    <row r="4" ht="13.5" customHeight="1">
      <c r="A4" s="2">
        <v>2.0</v>
      </c>
      <c r="B4" s="3" t="s">
        <v>20</v>
      </c>
    </row>
    <row r="5" ht="13.5" customHeight="1">
      <c r="A5" s="3" t="s">
        <v>4</v>
      </c>
      <c r="B5" s="3" t="s">
        <v>5</v>
      </c>
    </row>
    <row r="6" ht="13.5" customHeight="1">
      <c r="A6" s="2">
        <v>4.0</v>
      </c>
      <c r="B6" s="2">
        <v>8.0</v>
      </c>
    </row>
    <row r="7" ht="13.5" customHeight="1">
      <c r="A7" s="2">
        <v>5.0</v>
      </c>
      <c r="B7" s="2">
        <v>8.5</v>
      </c>
    </row>
    <row r="8" ht="13.5" customHeight="1">
      <c r="A8" s="2">
        <v>6.0</v>
      </c>
      <c r="B8" s="2">
        <v>8.5</v>
      </c>
    </row>
    <row r="9" ht="13.5" customHeight="1">
      <c r="A9" s="2">
        <v>7.0</v>
      </c>
      <c r="B9" s="2">
        <v>8.75</v>
      </c>
    </row>
    <row r="10" ht="13.5" customHeight="1">
      <c r="A10" s="2">
        <v>8.0</v>
      </c>
      <c r="B10" s="2">
        <v>8.5</v>
      </c>
    </row>
    <row r="11" ht="13.5" customHeight="1">
      <c r="A11" s="2">
        <v>9.0</v>
      </c>
      <c r="B11" s="2">
        <v>7.0</v>
      </c>
    </row>
    <row r="12" ht="13.5" customHeight="1">
      <c r="A12" s="3" t="s">
        <v>6</v>
      </c>
      <c r="B12" s="3" t="s">
        <v>5</v>
      </c>
    </row>
    <row r="13" ht="13.5" customHeight="1">
      <c r="A13" s="2">
        <v>11.0</v>
      </c>
      <c r="B13" s="2">
        <v>8.0</v>
      </c>
    </row>
    <row r="14" ht="13.5" customHeight="1">
      <c r="A14" s="2">
        <v>12.0</v>
      </c>
      <c r="B14" s="2">
        <v>8.0</v>
      </c>
    </row>
    <row r="15" ht="13.5" customHeight="1">
      <c r="A15" s="2">
        <v>13.0</v>
      </c>
      <c r="B15" s="3" t="s">
        <v>26</v>
      </c>
    </row>
    <row r="16" ht="13.5" customHeight="1">
      <c r="A16" s="2">
        <v>14.0</v>
      </c>
      <c r="B16" s="2">
        <v>9.0</v>
      </c>
    </row>
    <row r="17" ht="13.5" customHeight="1">
      <c r="A17" s="2">
        <v>15.0</v>
      </c>
      <c r="B17" s="2">
        <v>9.0</v>
      </c>
    </row>
    <row r="18" ht="13.5" customHeight="1">
      <c r="A18" s="2">
        <v>16.0</v>
      </c>
      <c r="B18" s="2">
        <v>8.0</v>
      </c>
    </row>
    <row r="19" ht="13.5" customHeight="1">
      <c r="A19" s="3" t="s">
        <v>7</v>
      </c>
      <c r="B19" s="3" t="s">
        <v>5</v>
      </c>
    </row>
    <row r="20" ht="13.5" customHeight="1">
      <c r="A20" s="2">
        <v>18.0</v>
      </c>
      <c r="B20" s="2">
        <v>8.0</v>
      </c>
    </row>
    <row r="21" ht="13.5" customHeight="1">
      <c r="A21" s="2">
        <v>19.0</v>
      </c>
      <c r="B21" s="2">
        <v>8.0</v>
      </c>
    </row>
    <row r="22" ht="13.5" customHeight="1">
      <c r="A22" s="2">
        <v>20.0</v>
      </c>
      <c r="B22" s="2">
        <v>8.0</v>
      </c>
    </row>
    <row r="23" ht="13.5" customHeight="1">
      <c r="A23" s="2">
        <v>21.0</v>
      </c>
      <c r="B23" s="2">
        <v>8.0</v>
      </c>
    </row>
    <row r="24" ht="13.5" customHeight="1">
      <c r="A24" s="2">
        <v>22.0</v>
      </c>
      <c r="B24" s="2">
        <v>8.0</v>
      </c>
    </row>
    <row r="25" ht="13.5" customHeight="1">
      <c r="A25" s="2">
        <v>23.0</v>
      </c>
      <c r="B25" s="2">
        <v>7.0</v>
      </c>
    </row>
    <row r="26" ht="13.5" customHeight="1">
      <c r="A26" s="3" t="s">
        <v>8</v>
      </c>
      <c r="B26" s="3" t="s">
        <v>5</v>
      </c>
    </row>
    <row r="27" ht="13.5" customHeight="1">
      <c r="A27" s="2">
        <v>25.0</v>
      </c>
      <c r="B27" s="2">
        <v>8.0</v>
      </c>
    </row>
    <row r="28" ht="13.5" customHeight="1">
      <c r="A28" s="2">
        <v>26.0</v>
      </c>
      <c r="B28" s="2">
        <v>9.5</v>
      </c>
    </row>
    <row r="29" ht="13.5" customHeight="1">
      <c r="A29" s="2">
        <v>27.0</v>
      </c>
      <c r="B29" s="2">
        <v>9.0</v>
      </c>
    </row>
    <row r="30" ht="13.5" customHeight="1">
      <c r="A30" s="2">
        <v>28.0</v>
      </c>
      <c r="B30" s="2">
        <v>8.0</v>
      </c>
    </row>
    <row r="31" ht="13.5" customHeight="1">
      <c r="A31" s="2">
        <v>29.0</v>
      </c>
      <c r="B31" s="2">
        <v>9.0</v>
      </c>
    </row>
    <row r="32" ht="13.5" customHeight="1">
      <c r="A32" s="2">
        <v>30.0</v>
      </c>
      <c r="B32" s="2">
        <v>8.0</v>
      </c>
    </row>
    <row r="33" ht="13.5" customHeight="1">
      <c r="A33" s="3" t="s">
        <v>9</v>
      </c>
      <c r="B33" s="3" t="s">
        <v>5</v>
      </c>
    </row>
    <row r="34" ht="13.5" customHeight="1">
      <c r="A34" s="3" t="s">
        <v>11</v>
      </c>
      <c r="B34" s="2">
        <f>SUM(B3:B33)</f>
        <v>197.25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114</v>
      </c>
      <c r="C1" s="2" t="s">
        <v>115</v>
      </c>
      <c r="D1" s="2" t="s">
        <v>116</v>
      </c>
      <c r="E1" s="2" t="s">
        <v>117</v>
      </c>
    </row>
    <row r="2" ht="13.5" customHeight="1">
      <c r="B2" s="2" t="s">
        <v>19</v>
      </c>
      <c r="C2" s="2" t="s">
        <v>118</v>
      </c>
      <c r="D2" s="2" t="s">
        <v>119</v>
      </c>
      <c r="E2" s="2" t="s">
        <v>66</v>
      </c>
    </row>
    <row r="3" ht="13.5" customHeight="1">
      <c r="A3" s="2">
        <v>1.0</v>
      </c>
      <c r="B3" s="2">
        <v>9.5</v>
      </c>
      <c r="C3" s="2">
        <v>9.5</v>
      </c>
      <c r="D3" s="2">
        <v>9.5</v>
      </c>
      <c r="E3" s="2">
        <v>9.5</v>
      </c>
    </row>
    <row r="4" ht="13.5" customHeight="1">
      <c r="A4" s="2">
        <v>2.0</v>
      </c>
      <c r="B4" s="3" t="s">
        <v>20</v>
      </c>
      <c r="C4" s="3" t="s">
        <v>20</v>
      </c>
      <c r="D4" s="3" t="s">
        <v>20</v>
      </c>
      <c r="E4" s="3" t="s">
        <v>20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6.0</v>
      </c>
      <c r="C6" s="2">
        <v>6.0</v>
      </c>
      <c r="D6" s="2">
        <v>6.0</v>
      </c>
      <c r="E6" s="2">
        <v>6.0</v>
      </c>
    </row>
    <row r="7" ht="13.5" customHeight="1">
      <c r="A7" s="2">
        <v>5.0</v>
      </c>
      <c r="B7" s="2">
        <v>9.5</v>
      </c>
      <c r="C7" s="2">
        <v>9.5</v>
      </c>
      <c r="D7" s="2">
        <v>9.5</v>
      </c>
      <c r="E7" s="2">
        <v>9.5</v>
      </c>
    </row>
    <row r="8" ht="13.5" customHeight="1">
      <c r="A8" s="2">
        <v>6.0</v>
      </c>
      <c r="B8" s="2">
        <v>9.5</v>
      </c>
      <c r="C8" s="2">
        <v>9.5</v>
      </c>
      <c r="D8" s="2">
        <v>9.5</v>
      </c>
      <c r="E8" s="2">
        <v>9.5</v>
      </c>
    </row>
    <row r="9" ht="13.5" customHeight="1">
      <c r="A9" s="2">
        <v>7.0</v>
      </c>
      <c r="B9" s="2">
        <v>9.5</v>
      </c>
      <c r="C9" s="2">
        <v>9.5</v>
      </c>
      <c r="D9" s="2">
        <v>9.5</v>
      </c>
      <c r="E9" s="2">
        <v>9.5</v>
      </c>
    </row>
    <row r="10" ht="13.5" customHeight="1">
      <c r="A10" s="2">
        <v>8.0</v>
      </c>
      <c r="B10" s="2">
        <v>9.5</v>
      </c>
      <c r="C10" s="2">
        <v>9.5</v>
      </c>
      <c r="D10" s="2">
        <v>9.5</v>
      </c>
      <c r="E10" s="2">
        <v>9.5</v>
      </c>
    </row>
    <row r="11" ht="13.5" customHeight="1">
      <c r="A11" s="2">
        <v>9.0</v>
      </c>
      <c r="B11" s="2">
        <v>6.5</v>
      </c>
      <c r="C11" s="2">
        <v>6.5</v>
      </c>
      <c r="D11" s="2">
        <v>6.5</v>
      </c>
      <c r="E11" s="2">
        <v>6.5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3" t="s">
        <v>26</v>
      </c>
      <c r="C13" s="3" t="s">
        <v>26</v>
      </c>
      <c r="D13" s="2">
        <v>9.5</v>
      </c>
      <c r="E13" s="2">
        <v>9.5</v>
      </c>
    </row>
    <row r="14" ht="13.5" customHeight="1">
      <c r="A14" s="2">
        <v>12.0</v>
      </c>
      <c r="B14" s="2">
        <v>9.5</v>
      </c>
      <c r="C14" s="2">
        <v>9.5</v>
      </c>
      <c r="D14" s="2">
        <v>9.5</v>
      </c>
      <c r="E14" s="2">
        <v>9.5</v>
      </c>
    </row>
    <row r="15" ht="13.5" customHeight="1">
      <c r="A15" s="2">
        <v>13.0</v>
      </c>
      <c r="B15" s="2">
        <v>9.5</v>
      </c>
      <c r="C15" s="2">
        <v>9.5</v>
      </c>
      <c r="D15" s="2">
        <v>9.5</v>
      </c>
      <c r="E15" s="2">
        <v>9.5</v>
      </c>
    </row>
    <row r="16" ht="13.5" customHeight="1">
      <c r="A16" s="2">
        <v>14.0</v>
      </c>
      <c r="B16" s="2">
        <v>9.5</v>
      </c>
      <c r="C16" s="2">
        <v>9.5</v>
      </c>
      <c r="D16" s="2">
        <v>9.5</v>
      </c>
      <c r="E16" s="2">
        <v>9.5</v>
      </c>
    </row>
    <row r="17" ht="13.5" customHeight="1">
      <c r="A17" s="2">
        <v>15.0</v>
      </c>
      <c r="B17" s="2">
        <v>9.5</v>
      </c>
      <c r="C17" s="2">
        <v>9.5</v>
      </c>
      <c r="D17" s="2">
        <v>9.5</v>
      </c>
      <c r="E17" s="2">
        <v>9.5</v>
      </c>
    </row>
    <row r="18" ht="13.5" customHeight="1">
      <c r="A18" s="2">
        <v>16.0</v>
      </c>
      <c r="B18" s="2">
        <v>6.5</v>
      </c>
      <c r="C18" s="2">
        <v>6.5</v>
      </c>
      <c r="D18" s="2">
        <v>6.5</v>
      </c>
      <c r="E18" s="2">
        <v>6.5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9.5</v>
      </c>
      <c r="C20" s="2">
        <v>9.5</v>
      </c>
      <c r="D20" s="2">
        <v>9.5</v>
      </c>
      <c r="E20" s="2">
        <v>9.5</v>
      </c>
    </row>
    <row r="21" ht="13.5" customHeight="1">
      <c r="A21" s="2">
        <v>19.0</v>
      </c>
      <c r="B21" s="2">
        <v>9.5</v>
      </c>
      <c r="C21" s="2">
        <v>9.5</v>
      </c>
      <c r="D21" s="2">
        <v>9.5</v>
      </c>
      <c r="E21" s="2">
        <v>9.5</v>
      </c>
    </row>
    <row r="22" ht="13.5" customHeight="1">
      <c r="A22" s="2">
        <v>20.0</v>
      </c>
      <c r="B22" s="2">
        <v>9.5</v>
      </c>
      <c r="C22" s="2">
        <v>9.5</v>
      </c>
      <c r="D22" s="2">
        <v>9.5</v>
      </c>
      <c r="E22" s="2">
        <v>9.5</v>
      </c>
    </row>
    <row r="23" ht="13.5" customHeight="1">
      <c r="A23" s="2">
        <v>21.0</v>
      </c>
      <c r="B23" s="2">
        <v>9.5</v>
      </c>
      <c r="C23" s="2">
        <v>9.5</v>
      </c>
      <c r="D23" s="2">
        <v>9.5</v>
      </c>
      <c r="E23" s="2">
        <v>9.5</v>
      </c>
    </row>
    <row r="24" ht="13.5" customHeight="1">
      <c r="A24" s="2">
        <v>22.0</v>
      </c>
      <c r="B24" s="2">
        <v>9.5</v>
      </c>
      <c r="C24" s="2">
        <v>9.5</v>
      </c>
      <c r="D24" s="2">
        <v>9.5</v>
      </c>
      <c r="E24" s="2">
        <v>9.5</v>
      </c>
    </row>
    <row r="25" ht="13.5" customHeight="1">
      <c r="A25" s="2">
        <v>23.0</v>
      </c>
      <c r="B25" s="2">
        <v>6.5</v>
      </c>
      <c r="C25" s="2">
        <v>6.5</v>
      </c>
      <c r="D25" s="2">
        <v>6.5</v>
      </c>
      <c r="E25" s="2">
        <v>6.5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9.5</v>
      </c>
      <c r="C27" s="2">
        <v>9.5</v>
      </c>
      <c r="D27" s="2">
        <v>9.5</v>
      </c>
      <c r="E27" s="2">
        <v>9.5</v>
      </c>
    </row>
    <row r="28" ht="13.5" customHeight="1">
      <c r="A28" s="2">
        <v>26.0</v>
      </c>
      <c r="B28" s="2">
        <v>9.5</v>
      </c>
      <c r="C28" s="2">
        <v>9.5</v>
      </c>
      <c r="D28" s="2">
        <v>9.5</v>
      </c>
      <c r="E28" s="2">
        <v>9.5</v>
      </c>
    </row>
    <row r="29" ht="13.5" customHeight="1">
      <c r="A29" s="2">
        <v>27.0</v>
      </c>
      <c r="B29" s="2">
        <v>9.5</v>
      </c>
      <c r="C29" s="2">
        <v>9.5</v>
      </c>
      <c r="D29" s="2">
        <v>9.5</v>
      </c>
      <c r="E29" s="2">
        <v>9.5</v>
      </c>
    </row>
    <row r="30" ht="13.5" customHeight="1">
      <c r="A30" s="2">
        <v>28.0</v>
      </c>
      <c r="B30" s="2">
        <v>9.5</v>
      </c>
      <c r="C30" s="2">
        <v>9.5</v>
      </c>
      <c r="D30" s="2">
        <v>9.5</v>
      </c>
      <c r="E30" s="2">
        <v>9.5</v>
      </c>
    </row>
    <row r="31" ht="13.5" customHeight="1">
      <c r="A31" s="2">
        <v>29.0</v>
      </c>
      <c r="B31" s="2">
        <v>9.5</v>
      </c>
      <c r="C31" s="2">
        <v>9.5</v>
      </c>
      <c r="D31" s="2">
        <v>9.5</v>
      </c>
      <c r="E31" s="3" t="s">
        <v>26</v>
      </c>
    </row>
    <row r="32" ht="13.5" customHeight="1">
      <c r="A32" s="2">
        <v>30.0</v>
      </c>
      <c r="B32" s="2">
        <v>6.5</v>
      </c>
      <c r="C32" s="2">
        <v>6.5</v>
      </c>
      <c r="D32" s="2">
        <v>6.5</v>
      </c>
      <c r="E32" s="2">
        <v>6.5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212.5</v>
      </c>
      <c r="C34" s="2">
        <f t="shared" si="1"/>
        <v>212.5</v>
      </c>
      <c r="D34" s="2">
        <f t="shared" si="1"/>
        <v>222</v>
      </c>
      <c r="E34" s="2">
        <f t="shared" si="1"/>
        <v>212.5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120</v>
      </c>
      <c r="C1" s="2" t="s">
        <v>121</v>
      </c>
      <c r="D1" s="2" t="s">
        <v>122</v>
      </c>
      <c r="E1" s="2" t="s">
        <v>123</v>
      </c>
    </row>
    <row r="2" ht="13.5" customHeight="1">
      <c r="B2" s="2" t="s">
        <v>124</v>
      </c>
      <c r="C2" s="2" t="s">
        <v>125</v>
      </c>
      <c r="D2" s="2" t="s">
        <v>126</v>
      </c>
      <c r="E2" s="2" t="s">
        <v>127</v>
      </c>
    </row>
    <row r="3" ht="13.5" customHeight="1">
      <c r="A3" s="2">
        <v>1.0</v>
      </c>
      <c r="B3" s="2">
        <v>10.0</v>
      </c>
      <c r="C3" s="2">
        <v>10.0</v>
      </c>
      <c r="D3" s="2">
        <v>10.0</v>
      </c>
      <c r="E3" s="2">
        <v>10.0</v>
      </c>
    </row>
    <row r="4" ht="13.5" customHeight="1">
      <c r="A4" s="2">
        <v>2.0</v>
      </c>
      <c r="B4" s="2">
        <v>6.0</v>
      </c>
      <c r="C4" s="2">
        <v>6.0</v>
      </c>
      <c r="D4" s="2">
        <v>6.0</v>
      </c>
      <c r="E4" s="2">
        <v>6.0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10.0</v>
      </c>
      <c r="C6" s="2">
        <v>10.0</v>
      </c>
      <c r="D6" s="3" t="s">
        <v>20</v>
      </c>
      <c r="E6" s="2">
        <v>10.0</v>
      </c>
    </row>
    <row r="7" ht="13.5" customHeight="1">
      <c r="A7" s="2">
        <v>5.0</v>
      </c>
      <c r="B7" s="15" t="s">
        <v>26</v>
      </c>
      <c r="C7" s="2">
        <v>10.0</v>
      </c>
      <c r="D7" s="2">
        <v>10.0</v>
      </c>
      <c r="E7" s="2">
        <v>10.0</v>
      </c>
    </row>
    <row r="8" ht="13.5" customHeight="1">
      <c r="A8" s="2">
        <v>6.0</v>
      </c>
      <c r="B8" s="3" t="s">
        <v>26</v>
      </c>
      <c r="C8" s="2">
        <v>10.0</v>
      </c>
      <c r="D8" s="2">
        <v>10.0</v>
      </c>
      <c r="E8" s="2">
        <v>10.0</v>
      </c>
    </row>
    <row r="9" ht="13.5" customHeight="1">
      <c r="A9" s="2">
        <v>7.0</v>
      </c>
      <c r="B9" s="3" t="s">
        <v>26</v>
      </c>
      <c r="C9" s="2">
        <v>10.0</v>
      </c>
      <c r="D9" s="2">
        <v>10.0</v>
      </c>
      <c r="E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</row>
    <row r="11" ht="13.5" customHeight="1">
      <c r="A11" s="2">
        <v>9.0</v>
      </c>
      <c r="B11" s="3" t="s">
        <v>20</v>
      </c>
      <c r="C11" s="2">
        <v>6.0</v>
      </c>
      <c r="D11" s="2">
        <v>6.0</v>
      </c>
      <c r="E11" s="2">
        <v>6.0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5.0</v>
      </c>
      <c r="E13" s="2">
        <v>10.0</v>
      </c>
    </row>
    <row r="14" ht="13.5" customHeight="1">
      <c r="A14" s="2">
        <v>12.0</v>
      </c>
      <c r="B14" s="2">
        <v>10.0</v>
      </c>
      <c r="C14" s="2">
        <v>10.0</v>
      </c>
      <c r="D14" s="3" t="s">
        <v>26</v>
      </c>
      <c r="E14" s="2">
        <v>10.0</v>
      </c>
    </row>
    <row r="15" ht="13.5" customHeight="1">
      <c r="A15" s="2">
        <v>13.0</v>
      </c>
      <c r="B15" s="2">
        <v>10.0</v>
      </c>
      <c r="C15" s="2">
        <v>10.0</v>
      </c>
      <c r="D15" s="3" t="s">
        <v>26</v>
      </c>
      <c r="E15" s="2">
        <v>10.0</v>
      </c>
    </row>
    <row r="16" ht="13.5" customHeight="1">
      <c r="A16" s="2">
        <v>14.0</v>
      </c>
      <c r="B16" s="2">
        <v>10.0</v>
      </c>
      <c r="C16" s="2">
        <v>10.0</v>
      </c>
      <c r="D16" s="3" t="s">
        <v>26</v>
      </c>
      <c r="E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</row>
    <row r="18" ht="13.5" customHeight="1">
      <c r="A18" s="2">
        <v>16.0</v>
      </c>
      <c r="B18" s="2">
        <v>6.0</v>
      </c>
      <c r="C18" s="2">
        <v>6.0</v>
      </c>
      <c r="D18" s="2">
        <v>6.0</v>
      </c>
      <c r="E18" s="2">
        <v>6.0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3" t="s">
        <v>26</v>
      </c>
      <c r="E23" s="3" t="s">
        <v>20</v>
      </c>
    </row>
    <row r="24" ht="13.5" customHeight="1">
      <c r="A24" s="2">
        <v>22.0</v>
      </c>
      <c r="B24" s="2">
        <v>10.0</v>
      </c>
      <c r="C24" s="2">
        <v>10.0</v>
      </c>
      <c r="D24" s="3" t="s">
        <v>26</v>
      </c>
      <c r="E24" s="2">
        <v>10.0</v>
      </c>
    </row>
    <row r="25" ht="13.5" customHeight="1">
      <c r="A25" s="2">
        <v>23.0</v>
      </c>
      <c r="B25" s="3" t="s">
        <v>20</v>
      </c>
      <c r="C25" s="2">
        <v>6.0</v>
      </c>
      <c r="D25" s="3" t="s">
        <v>26</v>
      </c>
      <c r="E25" s="2">
        <v>6.0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3" t="s">
        <v>20</v>
      </c>
      <c r="C27" s="2">
        <v>10.0</v>
      </c>
      <c r="D27" s="3" t="s">
        <v>26</v>
      </c>
      <c r="E27" s="2">
        <v>10.0</v>
      </c>
    </row>
    <row r="28" ht="13.5" customHeight="1">
      <c r="A28" s="2">
        <v>26.0</v>
      </c>
      <c r="B28" s="2">
        <v>10.0</v>
      </c>
      <c r="C28" s="2">
        <v>10.0</v>
      </c>
      <c r="D28" s="2">
        <v>10.0</v>
      </c>
      <c r="E28" s="2">
        <v>10.0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2">
        <v>10.0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</row>
    <row r="32" ht="13.5" customHeight="1">
      <c r="A32" s="2">
        <v>30.0</v>
      </c>
      <c r="B32" s="2">
        <v>6.0</v>
      </c>
      <c r="C32" s="2">
        <v>6.0</v>
      </c>
      <c r="D32" s="2">
        <v>6.0</v>
      </c>
      <c r="E32" s="2">
        <v>6.0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188</v>
      </c>
      <c r="C34" s="2">
        <f t="shared" si="1"/>
        <v>240</v>
      </c>
      <c r="D34" s="2">
        <f t="shared" si="1"/>
        <v>159</v>
      </c>
      <c r="E34" s="2">
        <f t="shared" si="1"/>
        <v>230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9" width="8.63"/>
    <col customWidth="1" min="10" max="10" width="19.5"/>
    <col customWidth="1" min="11" max="26" width="8.63"/>
  </cols>
  <sheetData>
    <row r="1" ht="13.5" customHeight="1">
      <c r="A1" s="3" t="s">
        <v>15</v>
      </c>
      <c r="B1" s="2" t="s">
        <v>128</v>
      </c>
      <c r="C1" s="2" t="s">
        <v>129</v>
      </c>
    </row>
    <row r="2" ht="13.5" customHeight="1">
      <c r="B2" s="2" t="s">
        <v>130</v>
      </c>
      <c r="C2" s="2" t="s">
        <v>69</v>
      </c>
    </row>
    <row r="3" ht="13.5" customHeight="1">
      <c r="A3" s="2">
        <v>1.0</v>
      </c>
      <c r="B3" s="18">
        <v>11.0</v>
      </c>
      <c r="C3" s="11">
        <v>11.0</v>
      </c>
    </row>
    <row r="4" ht="13.5" customHeight="1">
      <c r="A4" s="2">
        <v>2.0</v>
      </c>
      <c r="C4" s="11">
        <v>5.0</v>
      </c>
    </row>
    <row r="5" ht="13.5" customHeight="1">
      <c r="A5" s="3" t="s">
        <v>4</v>
      </c>
      <c r="B5" s="3" t="s">
        <v>5</v>
      </c>
      <c r="C5" s="19" t="s">
        <v>5</v>
      </c>
    </row>
    <row r="6" ht="13.5" customHeight="1">
      <c r="A6" s="2">
        <v>4.0</v>
      </c>
      <c r="C6" s="11">
        <v>11.0</v>
      </c>
      <c r="J6" s="20" t="s">
        <v>131</v>
      </c>
    </row>
    <row r="7" ht="13.5" customHeight="1">
      <c r="A7" s="2">
        <v>5.0</v>
      </c>
      <c r="C7" s="11">
        <v>11.0</v>
      </c>
    </row>
    <row r="8" ht="13.5" customHeight="1">
      <c r="A8" s="2">
        <v>6.0</v>
      </c>
      <c r="C8" s="11">
        <v>11.0</v>
      </c>
      <c r="J8" s="21" t="s">
        <v>132</v>
      </c>
    </row>
    <row r="9" ht="13.5" customHeight="1">
      <c r="A9" s="2">
        <v>7.0</v>
      </c>
      <c r="C9" s="11">
        <v>11.0</v>
      </c>
    </row>
    <row r="10" ht="13.5" customHeight="1">
      <c r="A10" s="2">
        <v>8.0</v>
      </c>
      <c r="C10" s="11">
        <v>11.0</v>
      </c>
    </row>
    <row r="11" ht="13.5" customHeight="1">
      <c r="A11" s="2">
        <v>9.0</v>
      </c>
      <c r="C11" s="11">
        <v>5.0</v>
      </c>
    </row>
    <row r="12" ht="13.5" customHeight="1">
      <c r="A12" s="3" t="s">
        <v>6</v>
      </c>
      <c r="B12" s="3" t="s">
        <v>5</v>
      </c>
      <c r="C12" s="19" t="s">
        <v>5</v>
      </c>
    </row>
    <row r="13" ht="13.5" customHeight="1">
      <c r="A13" s="2">
        <v>11.0</v>
      </c>
      <c r="C13" s="11">
        <v>11.0</v>
      </c>
    </row>
    <row r="14" ht="13.5" customHeight="1">
      <c r="A14" s="2">
        <v>12.0</v>
      </c>
      <c r="C14" s="11"/>
    </row>
    <row r="15" ht="13.5" customHeight="1">
      <c r="A15" s="2">
        <v>13.0</v>
      </c>
      <c r="C15" s="11"/>
    </row>
    <row r="16" ht="13.5" customHeight="1">
      <c r="A16" s="2">
        <v>14.0</v>
      </c>
      <c r="C16" s="11"/>
    </row>
    <row r="17" ht="13.5" customHeight="1">
      <c r="A17" s="2">
        <v>15.0</v>
      </c>
      <c r="C17" s="11"/>
    </row>
    <row r="18" ht="13.5" customHeight="1">
      <c r="A18" s="2">
        <v>16.0</v>
      </c>
      <c r="C18" s="11"/>
    </row>
    <row r="19" ht="13.5" customHeight="1">
      <c r="A19" s="3" t="s">
        <v>7</v>
      </c>
      <c r="B19" s="3" t="s">
        <v>5</v>
      </c>
      <c r="C19" s="19" t="s">
        <v>5</v>
      </c>
    </row>
    <row r="20" ht="13.5" customHeight="1">
      <c r="A20" s="2">
        <v>18.0</v>
      </c>
      <c r="B20" s="2">
        <v>3.0</v>
      </c>
      <c r="C20" s="2">
        <v>3.0</v>
      </c>
    </row>
    <row r="21" ht="13.5" customHeight="1">
      <c r="A21" s="2">
        <v>19.0</v>
      </c>
      <c r="B21" s="2">
        <v>11.0</v>
      </c>
      <c r="C21" s="2">
        <v>11.0</v>
      </c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</row>
    <row r="34" ht="13.5" customHeight="1">
      <c r="A34" s="3" t="s">
        <v>11</v>
      </c>
      <c r="B34" s="2">
        <f>SUM(B3:B33)</f>
        <v>120</v>
      </c>
      <c r="C34" s="2">
        <f>SUM(C20:C33)</f>
        <v>109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133</v>
      </c>
      <c r="C1" s="2" t="s">
        <v>134</v>
      </c>
    </row>
    <row r="2" ht="13.5" customHeight="1">
      <c r="B2" s="2" t="s">
        <v>135</v>
      </c>
      <c r="C2" s="2" t="s">
        <v>136</v>
      </c>
    </row>
    <row r="3" ht="13.5" customHeight="1">
      <c r="A3" s="2">
        <v>1.0</v>
      </c>
      <c r="B3" s="2">
        <v>15.499999999999998</v>
      </c>
      <c r="C3" s="2">
        <v>15.499999999999998</v>
      </c>
    </row>
    <row r="4" ht="13.5" customHeight="1">
      <c r="A4" s="2">
        <v>2.0</v>
      </c>
      <c r="B4" s="22">
        <v>5.416666666666668</v>
      </c>
      <c r="C4" s="22">
        <v>5.416666666666668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14.45</v>
      </c>
      <c r="C6" s="2">
        <v>14.45</v>
      </c>
    </row>
    <row r="7" ht="13.5" customHeight="1">
      <c r="A7" s="2">
        <v>5.0</v>
      </c>
      <c r="B7" s="22">
        <v>11.916666666666666</v>
      </c>
      <c r="C7" s="22">
        <v>11.916666666666666</v>
      </c>
    </row>
    <row r="8" ht="13.5" customHeight="1">
      <c r="A8" s="2">
        <v>6.0</v>
      </c>
      <c r="B8" s="2">
        <v>12.350000000000001</v>
      </c>
      <c r="C8" s="2">
        <v>12.350000000000001</v>
      </c>
    </row>
    <row r="9" ht="13.5" customHeight="1">
      <c r="A9" s="2">
        <v>7.0</v>
      </c>
      <c r="B9" s="2">
        <v>13.799999999999999</v>
      </c>
      <c r="C9" s="2">
        <v>13.799999999999999</v>
      </c>
    </row>
    <row r="10" ht="13.5" customHeight="1">
      <c r="A10" s="2">
        <v>8.0</v>
      </c>
      <c r="B10" s="22">
        <v>12.533333333333331</v>
      </c>
      <c r="C10" s="22">
        <v>12.533333333333331</v>
      </c>
    </row>
    <row r="11" ht="13.5" customHeight="1">
      <c r="A11" s="2">
        <v>9.0</v>
      </c>
      <c r="B11" s="22">
        <v>5.633333333333333</v>
      </c>
      <c r="C11" s="22">
        <v>5.633333333333333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2">
        <v>12.633333333333331</v>
      </c>
      <c r="C13" s="22">
        <v>12.633333333333331</v>
      </c>
    </row>
    <row r="14" ht="13.5" customHeight="1">
      <c r="A14" s="2">
        <v>12.0</v>
      </c>
      <c r="B14" s="2">
        <v>13.999999999999998</v>
      </c>
      <c r="C14" s="2">
        <v>13.999999999999998</v>
      </c>
    </row>
    <row r="15" ht="13.5" customHeight="1">
      <c r="A15" s="2">
        <v>13.0</v>
      </c>
      <c r="B15" s="22">
        <v>11.633333333333333</v>
      </c>
      <c r="C15" s="22">
        <v>11.183333333333332</v>
      </c>
    </row>
    <row r="16" ht="13.5" customHeight="1">
      <c r="A16" s="2">
        <v>14.0</v>
      </c>
      <c r="B16" s="22">
        <v>12.466666666666665</v>
      </c>
      <c r="C16" s="22">
        <v>12.466666666666665</v>
      </c>
    </row>
    <row r="17" ht="13.5" customHeight="1">
      <c r="A17" s="2">
        <v>15.0</v>
      </c>
      <c r="B17" s="2">
        <v>13.4</v>
      </c>
      <c r="C17" s="2">
        <v>13.4</v>
      </c>
    </row>
    <row r="18" ht="13.5" customHeight="1">
      <c r="A18" s="2">
        <v>16.0</v>
      </c>
      <c r="B18" s="22">
        <v>5.833333333333332</v>
      </c>
      <c r="C18" s="22">
        <v>5.833333333333332</v>
      </c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B20" s="2">
        <v>13.549999999999997</v>
      </c>
      <c r="C20" s="2">
        <v>13.549999999999997</v>
      </c>
    </row>
    <row r="21" ht="13.5" customHeight="1">
      <c r="A21" s="2">
        <v>19.0</v>
      </c>
      <c r="B21" s="22">
        <v>12.83333333333333</v>
      </c>
      <c r="C21" s="22">
        <v>12.83333333333333</v>
      </c>
    </row>
    <row r="22" ht="13.5" customHeight="1">
      <c r="A22" s="2">
        <v>20.0</v>
      </c>
      <c r="B22" s="22">
        <v>12.83333333333333</v>
      </c>
      <c r="C22" s="22">
        <v>12.83333333333333</v>
      </c>
    </row>
    <row r="23" ht="13.5" customHeight="1">
      <c r="A23" s="2">
        <v>21.0</v>
      </c>
      <c r="B23" s="2">
        <v>13.000000000000002</v>
      </c>
      <c r="C23" s="2">
        <v>13.000000000000002</v>
      </c>
    </row>
    <row r="24" ht="13.5" customHeight="1">
      <c r="A24" s="2">
        <v>22.0</v>
      </c>
      <c r="B24" s="2">
        <v>13.5</v>
      </c>
      <c r="C24" s="2">
        <v>13.5</v>
      </c>
    </row>
    <row r="25" ht="13.5" customHeight="1">
      <c r="A25" s="2">
        <v>23.0</v>
      </c>
      <c r="B25" s="22">
        <v>6.466666666666667</v>
      </c>
      <c r="C25" s="2">
        <v>6.5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2">
        <v>15.466666666666665</v>
      </c>
      <c r="C27" s="2">
        <v>15.499999999999998</v>
      </c>
    </row>
    <row r="28" ht="13.5" customHeight="1">
      <c r="A28" s="2">
        <v>26.0</v>
      </c>
      <c r="B28" s="22">
        <v>13.433333333333334</v>
      </c>
      <c r="C28" s="22">
        <v>13.433333333333334</v>
      </c>
    </row>
    <row r="29" ht="13.5" customHeight="1">
      <c r="A29" s="2">
        <v>27.0</v>
      </c>
      <c r="B29" s="2">
        <v>13.000000000000002</v>
      </c>
      <c r="C29" s="2">
        <v>13.000000000000002</v>
      </c>
    </row>
    <row r="30" ht="13.5" customHeight="1">
      <c r="A30" s="2">
        <v>28.0</v>
      </c>
      <c r="B30" s="22">
        <v>14.083333333333334</v>
      </c>
      <c r="C30" s="22">
        <v>14.083333333333334</v>
      </c>
    </row>
    <row r="31" ht="13.5" customHeight="1">
      <c r="A31" s="2">
        <v>29.0</v>
      </c>
      <c r="B31" s="2">
        <v>13.999999999999998</v>
      </c>
      <c r="C31" s="2">
        <v>13.999999999999998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</row>
    <row r="34" ht="13.5" customHeight="1">
      <c r="A34" s="3" t="s">
        <v>11</v>
      </c>
      <c r="B34" s="22">
        <f t="shared" ref="B34:C34" si="1">SUM(B3:B33)</f>
        <v>310.7333333</v>
      </c>
      <c r="C34" s="22">
        <f t="shared" si="1"/>
        <v>310.35</v>
      </c>
    </row>
    <row r="35" ht="13.5" customHeight="1"/>
    <row r="36" ht="13.5" customHeight="1"/>
    <row r="37" ht="13.5" customHeight="1"/>
    <row r="38" ht="13.5" customHeight="1">
      <c r="A38" s="3" t="s">
        <v>137</v>
      </c>
      <c r="B38" s="2">
        <f>310.73-252</f>
        <v>58.73</v>
      </c>
      <c r="C38" s="2">
        <f>310.35-252</f>
        <v>58.35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138</v>
      </c>
    </row>
    <row r="2" ht="13.5" customHeight="1">
      <c r="B2" s="2" t="s">
        <v>139</v>
      </c>
    </row>
    <row r="3" ht="13.5" customHeight="1">
      <c r="A3" s="2">
        <v>1.0</v>
      </c>
      <c r="B3" s="13" t="s">
        <v>140</v>
      </c>
    </row>
    <row r="4" ht="13.5" customHeight="1">
      <c r="A4" s="2">
        <v>2.0</v>
      </c>
      <c r="B4" s="13" t="s">
        <v>141</v>
      </c>
    </row>
    <row r="5" ht="13.5" customHeight="1">
      <c r="A5" s="3" t="s">
        <v>4</v>
      </c>
      <c r="B5" s="12"/>
    </row>
    <row r="6" ht="13.5" customHeight="1">
      <c r="A6" s="2">
        <v>4.0</v>
      </c>
      <c r="B6" s="12"/>
    </row>
    <row r="7" ht="13.5" customHeight="1">
      <c r="A7" s="2">
        <v>5.0</v>
      </c>
      <c r="B7" s="12"/>
    </row>
    <row r="8" ht="13.5" customHeight="1">
      <c r="A8" s="2">
        <v>6.0</v>
      </c>
      <c r="B8" s="12"/>
    </row>
    <row r="9" ht="13.5" customHeight="1">
      <c r="A9" s="2">
        <v>7.0</v>
      </c>
      <c r="B9" s="12"/>
    </row>
    <row r="10" ht="13.5" customHeight="1">
      <c r="A10" s="2">
        <v>8.0</v>
      </c>
      <c r="B10" s="12"/>
    </row>
    <row r="11" ht="13.5" customHeight="1">
      <c r="A11" s="2">
        <v>9.0</v>
      </c>
      <c r="B11" s="12"/>
    </row>
    <row r="12" ht="13.5" customHeight="1">
      <c r="A12" s="3" t="s">
        <v>6</v>
      </c>
      <c r="B12" s="12"/>
    </row>
    <row r="13" ht="13.5" customHeight="1">
      <c r="A13" s="2">
        <v>11.0</v>
      </c>
      <c r="B13" s="12"/>
    </row>
    <row r="14" ht="13.5" customHeight="1">
      <c r="A14" s="2">
        <v>12.0</v>
      </c>
      <c r="B14" s="12"/>
    </row>
    <row r="15" ht="13.5" customHeight="1">
      <c r="A15" s="2">
        <v>13.0</v>
      </c>
      <c r="B15" s="12"/>
    </row>
    <row r="16" ht="13.5" customHeight="1">
      <c r="A16" s="2">
        <v>14.0</v>
      </c>
      <c r="B16" s="12"/>
    </row>
    <row r="17" ht="13.5" customHeight="1">
      <c r="A17" s="2">
        <v>15.0</v>
      </c>
      <c r="B17" s="12"/>
    </row>
    <row r="18" ht="13.5" customHeight="1">
      <c r="A18" s="2">
        <v>16.0</v>
      </c>
      <c r="B18" s="12"/>
    </row>
    <row r="19" ht="13.5" customHeight="1">
      <c r="A19" s="3" t="s">
        <v>7</v>
      </c>
      <c r="B19" s="3" t="s">
        <v>5</v>
      </c>
    </row>
    <row r="20" ht="13.5" customHeight="1">
      <c r="A20" s="2">
        <v>18.0</v>
      </c>
    </row>
    <row r="21" ht="13.5" customHeight="1">
      <c r="A21" s="2">
        <v>19.0</v>
      </c>
      <c r="B21" s="2">
        <v>11.0</v>
      </c>
    </row>
    <row r="22" ht="13.5" customHeight="1">
      <c r="A22" s="2">
        <v>20.0</v>
      </c>
      <c r="B22" s="2">
        <v>11.0</v>
      </c>
    </row>
    <row r="23" ht="13.5" customHeight="1">
      <c r="A23" s="2">
        <v>21.0</v>
      </c>
      <c r="B23" s="2">
        <v>11.0</v>
      </c>
    </row>
    <row r="24" ht="13.5" customHeight="1">
      <c r="A24" s="2">
        <v>22.0</v>
      </c>
      <c r="B24" s="2">
        <v>11.0</v>
      </c>
    </row>
    <row r="25" ht="13.5" customHeight="1">
      <c r="A25" s="2">
        <v>23.0</v>
      </c>
    </row>
    <row r="26" ht="13.5" customHeight="1">
      <c r="A26" s="3" t="s">
        <v>8</v>
      </c>
      <c r="B26" s="3" t="s">
        <v>5</v>
      </c>
    </row>
    <row r="27" ht="13.5" customHeight="1">
      <c r="A27" s="2">
        <v>25.0</v>
      </c>
    </row>
    <row r="28" ht="13.5" customHeight="1">
      <c r="A28" s="2">
        <v>26.0</v>
      </c>
      <c r="B28" s="2">
        <v>11.0</v>
      </c>
    </row>
    <row r="29" ht="13.5" customHeight="1">
      <c r="A29" s="2">
        <v>27.0</v>
      </c>
      <c r="B29" s="2">
        <v>11.0</v>
      </c>
    </row>
    <row r="30" ht="13.5" customHeight="1">
      <c r="A30" s="2">
        <v>28.0</v>
      </c>
      <c r="B30" s="2">
        <v>11.0</v>
      </c>
    </row>
    <row r="31" ht="13.5" customHeight="1">
      <c r="A31" s="2">
        <v>29.0</v>
      </c>
      <c r="B31" s="2">
        <v>11.0</v>
      </c>
    </row>
    <row r="32" ht="13.5" customHeight="1">
      <c r="A32" s="2">
        <v>30.0</v>
      </c>
    </row>
    <row r="33" ht="13.5" customHeight="1">
      <c r="A33" s="3" t="s">
        <v>9</v>
      </c>
      <c r="B33" s="3" t="s">
        <v>5</v>
      </c>
    </row>
    <row r="34" ht="13.5" customHeight="1">
      <c r="A34" s="3" t="s">
        <v>11</v>
      </c>
      <c r="B34" s="2">
        <f>SUM(B3:B33)</f>
        <v>88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22</v>
      </c>
      <c r="C1" s="2" t="s">
        <v>23</v>
      </c>
    </row>
    <row r="2" ht="13.5" customHeight="1">
      <c r="B2" s="2" t="s">
        <v>24</v>
      </c>
      <c r="C2" s="2" t="s">
        <v>25</v>
      </c>
    </row>
    <row r="3" ht="13.5" customHeight="1">
      <c r="A3" s="2">
        <v>1.0</v>
      </c>
      <c r="B3" s="2">
        <v>11.0</v>
      </c>
      <c r="C3" s="2">
        <v>11.0</v>
      </c>
    </row>
    <row r="4" ht="13.5" customHeight="1">
      <c r="A4" s="2">
        <v>2.0</v>
      </c>
      <c r="B4" s="2">
        <v>7.0</v>
      </c>
      <c r="C4" s="3" t="s">
        <v>26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11.0</v>
      </c>
      <c r="C6" s="3" t="s">
        <v>26</v>
      </c>
    </row>
    <row r="7" ht="13.5" customHeight="1">
      <c r="A7" s="2">
        <v>5.0</v>
      </c>
      <c r="B7" s="2">
        <v>11.0</v>
      </c>
      <c r="C7" s="2">
        <v>11.0</v>
      </c>
    </row>
    <row r="8" ht="13.5" customHeight="1">
      <c r="A8" s="2">
        <v>6.0</v>
      </c>
      <c r="B8" s="2">
        <v>11.0</v>
      </c>
      <c r="C8" s="2">
        <v>11.0</v>
      </c>
    </row>
    <row r="9" ht="13.5" customHeight="1">
      <c r="A9" s="2">
        <v>7.0</v>
      </c>
      <c r="B9" s="2">
        <v>11.0</v>
      </c>
      <c r="C9" s="2">
        <v>3.0</v>
      </c>
    </row>
    <row r="10" ht="13.5" customHeight="1">
      <c r="A10" s="2">
        <v>8.0</v>
      </c>
      <c r="B10" s="2">
        <v>11.0</v>
      </c>
      <c r="C10" s="3" t="s">
        <v>26</v>
      </c>
    </row>
    <row r="11" ht="13.5" customHeight="1">
      <c r="A11" s="2">
        <v>9.0</v>
      </c>
      <c r="B11" s="2">
        <v>7.0</v>
      </c>
      <c r="C11" s="3" t="s">
        <v>26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">
        <v>11.0</v>
      </c>
      <c r="C13" s="3" t="s">
        <v>26</v>
      </c>
    </row>
    <row r="14" ht="13.5" customHeight="1">
      <c r="A14" s="2">
        <v>12.0</v>
      </c>
      <c r="B14" s="2">
        <v>11.0</v>
      </c>
      <c r="C14" s="3" t="s">
        <v>26</v>
      </c>
    </row>
    <row r="15" ht="13.5" customHeight="1">
      <c r="A15" s="2">
        <v>13.0</v>
      </c>
      <c r="B15" s="2">
        <v>11.0</v>
      </c>
      <c r="C15" s="3" t="s">
        <v>26</v>
      </c>
    </row>
    <row r="16" ht="13.5" customHeight="1">
      <c r="A16" s="2">
        <v>14.0</v>
      </c>
      <c r="B16" s="2">
        <v>11.0</v>
      </c>
      <c r="C16" s="3" t="s">
        <v>26</v>
      </c>
    </row>
    <row r="17" ht="13.5" customHeight="1">
      <c r="A17" s="2">
        <v>15.0</v>
      </c>
      <c r="B17" s="2">
        <v>11.0</v>
      </c>
      <c r="C17" s="3" t="s">
        <v>26</v>
      </c>
    </row>
    <row r="18" ht="13.5" customHeight="1">
      <c r="A18" s="2">
        <v>16.0</v>
      </c>
      <c r="B18" s="2">
        <v>7.0</v>
      </c>
      <c r="C18" s="3" t="s">
        <v>26</v>
      </c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B20" s="2">
        <v>11.0</v>
      </c>
      <c r="C20" s="2">
        <v>11.0</v>
      </c>
    </row>
    <row r="21" ht="13.5" customHeight="1">
      <c r="A21" s="2">
        <v>19.0</v>
      </c>
      <c r="B21" s="2">
        <v>11.0</v>
      </c>
      <c r="C21" s="2">
        <v>11.0</v>
      </c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  <c r="B25" s="2">
        <v>7.0</v>
      </c>
      <c r="C25" s="2">
        <v>7.0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</row>
    <row r="34" ht="13.5" customHeight="1">
      <c r="A34" s="3" t="s">
        <v>11</v>
      </c>
      <c r="B34" s="2">
        <f t="shared" ref="B34:C34" si="1">SUM(B3:B33)</f>
        <v>266</v>
      </c>
      <c r="C34" s="2">
        <f t="shared" si="1"/>
        <v>160</v>
      </c>
    </row>
    <row r="35" ht="13.5" customHeight="1"/>
    <row r="36" ht="13.5" customHeight="1">
      <c r="A36" s="3" t="s">
        <v>142</v>
      </c>
      <c r="B36" s="2">
        <f>266-252</f>
        <v>14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16</v>
      </c>
      <c r="C1" s="2" t="s">
        <v>17</v>
      </c>
    </row>
    <row r="2" ht="13.5" customHeight="1">
      <c r="B2" s="2" t="s">
        <v>18</v>
      </c>
      <c r="C2" s="2" t="s">
        <v>19</v>
      </c>
    </row>
    <row r="3" ht="13.5" customHeight="1">
      <c r="A3" s="2">
        <v>1.0</v>
      </c>
      <c r="B3" s="2">
        <v>11.0</v>
      </c>
      <c r="C3" s="2">
        <v>11.0</v>
      </c>
    </row>
    <row r="4" ht="13.5" customHeight="1">
      <c r="A4" s="2">
        <v>2.0</v>
      </c>
      <c r="B4" s="2">
        <v>7.0</v>
      </c>
      <c r="C4" s="2">
        <v>7.0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11.0</v>
      </c>
      <c r="C6" s="2">
        <v>11.0</v>
      </c>
    </row>
    <row r="7" ht="13.5" customHeight="1">
      <c r="A7" s="2">
        <v>5.0</v>
      </c>
      <c r="B7" s="2">
        <v>11.0</v>
      </c>
      <c r="C7" s="2">
        <v>11.0</v>
      </c>
    </row>
    <row r="8" ht="13.5" customHeight="1">
      <c r="A8" s="2">
        <v>6.0</v>
      </c>
      <c r="B8" s="2">
        <v>11.0</v>
      </c>
      <c r="C8" s="2">
        <v>11.0</v>
      </c>
    </row>
    <row r="9" ht="13.5" customHeight="1">
      <c r="A9" s="2">
        <v>7.0</v>
      </c>
      <c r="B9" s="2">
        <v>11.0</v>
      </c>
      <c r="C9" s="2">
        <v>11.0</v>
      </c>
    </row>
    <row r="10" ht="13.5" customHeight="1">
      <c r="A10" s="2">
        <v>8.0</v>
      </c>
      <c r="B10" s="2">
        <v>11.0</v>
      </c>
      <c r="C10" s="2">
        <v>11.0</v>
      </c>
    </row>
    <row r="11" ht="13.5" customHeight="1">
      <c r="A11" s="2">
        <v>9.0</v>
      </c>
      <c r="B11" s="2">
        <v>7.0</v>
      </c>
      <c r="C11" s="2">
        <v>7.0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">
        <v>11.0</v>
      </c>
      <c r="C13" s="2">
        <v>11.0</v>
      </c>
    </row>
    <row r="14" ht="13.5" customHeight="1">
      <c r="A14" s="2">
        <v>12.0</v>
      </c>
      <c r="B14" s="2">
        <v>11.0</v>
      </c>
      <c r="C14" s="2">
        <v>11.0</v>
      </c>
    </row>
    <row r="15" ht="13.5" customHeight="1">
      <c r="A15" s="2">
        <v>13.0</v>
      </c>
      <c r="B15" s="2">
        <v>11.0</v>
      </c>
      <c r="C15" s="2">
        <v>11.0</v>
      </c>
    </row>
    <row r="16" ht="13.5" customHeight="1">
      <c r="A16" s="2">
        <v>14.0</v>
      </c>
      <c r="B16" s="2">
        <v>11.0</v>
      </c>
      <c r="C16" s="2">
        <v>11.0</v>
      </c>
    </row>
    <row r="17" ht="13.5" customHeight="1">
      <c r="A17" s="2">
        <v>15.0</v>
      </c>
      <c r="B17" s="2">
        <v>11.0</v>
      </c>
      <c r="C17" s="2">
        <v>11.0</v>
      </c>
    </row>
    <row r="18" ht="13.5" customHeight="1">
      <c r="A18" s="2">
        <v>16.0</v>
      </c>
      <c r="B18" s="2">
        <v>7.0</v>
      </c>
      <c r="C18" s="2">
        <v>7.0</v>
      </c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B20" s="2">
        <v>11.0</v>
      </c>
      <c r="C20" s="2">
        <v>11.0</v>
      </c>
    </row>
    <row r="21" ht="13.5" customHeight="1">
      <c r="A21" s="2">
        <v>19.0</v>
      </c>
      <c r="B21" s="2">
        <v>11.0</v>
      </c>
      <c r="C21" s="2">
        <v>11.0</v>
      </c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  <c r="B25" s="2">
        <v>7.0</v>
      </c>
      <c r="C25" s="2">
        <v>7.0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7.0</v>
      </c>
    </row>
    <row r="33" ht="13.5" customHeight="1">
      <c r="A33" s="3" t="s">
        <v>9</v>
      </c>
      <c r="B33" s="3" t="s">
        <v>5</v>
      </c>
      <c r="C33" s="3" t="s">
        <v>5</v>
      </c>
    </row>
    <row r="34" ht="13.5" customHeight="1">
      <c r="A34" s="3" t="s">
        <v>11</v>
      </c>
      <c r="B34" s="2">
        <f t="shared" ref="B34:C34" si="1">SUM(B3:B33)</f>
        <v>266</v>
      </c>
      <c r="C34" s="2">
        <f t="shared" si="1"/>
        <v>266</v>
      </c>
    </row>
    <row r="35" ht="13.5" customHeight="1"/>
    <row r="36" ht="13.5" customHeight="1">
      <c r="A36" s="3" t="s">
        <v>137</v>
      </c>
      <c r="B36" s="2">
        <f t="shared" ref="B36:C36" si="2">266-252</f>
        <v>14</v>
      </c>
      <c r="C36" s="2">
        <f t="shared" si="2"/>
        <v>14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8.63"/>
    <col customWidth="1" min="6" max="6" width="10.25"/>
    <col customWidth="1" min="7" max="26" width="8.63"/>
  </cols>
  <sheetData>
    <row r="1" ht="13.5" customHeight="1">
      <c r="A1" s="3" t="s">
        <v>15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</row>
    <row r="2" ht="13.5" customHeight="1">
      <c r="B2" s="2" t="s">
        <v>149</v>
      </c>
      <c r="C2" s="2" t="s">
        <v>150</v>
      </c>
      <c r="D2" s="2" t="s">
        <v>151</v>
      </c>
      <c r="E2" s="2" t="s">
        <v>152</v>
      </c>
      <c r="F2" s="2" t="s">
        <v>153</v>
      </c>
      <c r="G2" s="2" t="s">
        <v>154</v>
      </c>
    </row>
    <row r="3" ht="13.5" customHeight="1">
      <c r="A3" s="2">
        <v>1.0</v>
      </c>
      <c r="B3" s="2">
        <v>11.0</v>
      </c>
      <c r="C3" s="2">
        <v>11.0</v>
      </c>
      <c r="D3" s="2">
        <v>11.0</v>
      </c>
      <c r="E3" s="2">
        <v>11.0</v>
      </c>
      <c r="F3" s="2">
        <v>11.0</v>
      </c>
      <c r="G3" s="2">
        <v>11.0</v>
      </c>
    </row>
    <row r="4" ht="13.5" customHeight="1">
      <c r="A4" s="2">
        <v>2.0</v>
      </c>
      <c r="B4" s="2">
        <v>7.0</v>
      </c>
      <c r="C4" s="2">
        <v>7.0</v>
      </c>
      <c r="D4" s="2">
        <v>7.0</v>
      </c>
      <c r="E4" s="2">
        <v>7.0</v>
      </c>
      <c r="F4" s="2">
        <v>7.0</v>
      </c>
      <c r="G4" s="2">
        <v>7.0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</row>
    <row r="6" ht="13.5" customHeight="1">
      <c r="A6" s="2">
        <v>4.0</v>
      </c>
      <c r="B6" s="2">
        <v>11.0</v>
      </c>
      <c r="C6" s="2">
        <v>11.0</v>
      </c>
      <c r="D6" s="2">
        <v>11.0</v>
      </c>
      <c r="E6" s="2">
        <v>11.0</v>
      </c>
      <c r="F6" s="2">
        <v>11.0</v>
      </c>
      <c r="G6" s="2">
        <v>11.0</v>
      </c>
    </row>
    <row r="7" ht="13.5" customHeight="1">
      <c r="A7" s="2">
        <v>5.0</v>
      </c>
      <c r="B7" s="2">
        <v>11.0</v>
      </c>
      <c r="C7" s="2">
        <v>11.0</v>
      </c>
      <c r="D7" s="2">
        <v>11.0</v>
      </c>
      <c r="E7" s="2">
        <v>11.0</v>
      </c>
      <c r="F7" s="2">
        <v>11.0</v>
      </c>
      <c r="G7" s="2">
        <v>11.0</v>
      </c>
    </row>
    <row r="8" ht="13.5" customHeight="1">
      <c r="A8" s="2">
        <v>6.0</v>
      </c>
      <c r="B8" s="2">
        <v>11.0</v>
      </c>
      <c r="C8" s="2">
        <v>11.0</v>
      </c>
      <c r="D8" s="2">
        <v>11.0</v>
      </c>
      <c r="E8" s="2">
        <v>11.0</v>
      </c>
      <c r="F8" s="2">
        <v>11.0</v>
      </c>
      <c r="G8" s="2">
        <v>11.0</v>
      </c>
    </row>
    <row r="9" ht="13.5" customHeight="1">
      <c r="A9" s="2">
        <v>7.0</v>
      </c>
      <c r="B9" s="2">
        <v>11.0</v>
      </c>
      <c r="C9" s="2">
        <v>11.0</v>
      </c>
      <c r="D9" s="2">
        <v>11.0</v>
      </c>
      <c r="E9" s="2">
        <v>11.0</v>
      </c>
      <c r="F9" s="2">
        <v>11.0</v>
      </c>
      <c r="G9" s="2">
        <v>11.0</v>
      </c>
    </row>
    <row r="10" ht="13.5" customHeight="1">
      <c r="A10" s="2">
        <v>8.0</v>
      </c>
      <c r="B10" s="2">
        <v>11.0</v>
      </c>
      <c r="C10" s="2">
        <v>11.0</v>
      </c>
      <c r="D10" s="2">
        <v>11.0</v>
      </c>
      <c r="E10" s="2">
        <v>11.0</v>
      </c>
      <c r="F10" s="2">
        <v>11.0</v>
      </c>
      <c r="G10" s="2">
        <v>11.0</v>
      </c>
    </row>
    <row r="11" ht="13.5" customHeight="1">
      <c r="A11" s="2">
        <v>9.0</v>
      </c>
      <c r="B11" s="2">
        <v>7.0</v>
      </c>
      <c r="C11" s="2">
        <v>7.0</v>
      </c>
      <c r="D11" s="2">
        <v>7.0</v>
      </c>
      <c r="E11" s="2">
        <v>7.0</v>
      </c>
      <c r="F11" s="2">
        <v>7.0</v>
      </c>
      <c r="G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3" t="s">
        <v>5</v>
      </c>
      <c r="G12" s="3" t="s">
        <v>5</v>
      </c>
    </row>
    <row r="13" ht="13.5" customHeight="1">
      <c r="A13" s="2">
        <v>11.0</v>
      </c>
      <c r="B13" s="2">
        <v>11.0</v>
      </c>
      <c r="C13" s="2">
        <v>11.0</v>
      </c>
      <c r="D13" s="2">
        <v>11.0</v>
      </c>
      <c r="E13" s="2">
        <v>11.0</v>
      </c>
      <c r="F13" s="2">
        <v>11.0</v>
      </c>
      <c r="G13" s="2">
        <v>11.0</v>
      </c>
    </row>
    <row r="14" ht="13.5" customHeight="1">
      <c r="A14" s="2">
        <v>12.0</v>
      </c>
      <c r="B14" s="2">
        <v>11.0</v>
      </c>
      <c r="C14" s="2">
        <v>11.0</v>
      </c>
      <c r="D14" s="2">
        <v>11.0</v>
      </c>
      <c r="E14" s="2">
        <v>11.0</v>
      </c>
      <c r="F14" s="3" t="s">
        <v>26</v>
      </c>
      <c r="G14" s="2">
        <v>11.0</v>
      </c>
    </row>
    <row r="15" ht="13.5" customHeight="1">
      <c r="A15" s="2">
        <v>13.0</v>
      </c>
      <c r="B15" s="2">
        <v>11.0</v>
      </c>
      <c r="C15" s="2">
        <v>11.0</v>
      </c>
      <c r="D15" s="2">
        <v>11.0</v>
      </c>
      <c r="E15" s="2">
        <v>11.0</v>
      </c>
      <c r="F15" s="2">
        <v>11.0</v>
      </c>
      <c r="G15" s="2">
        <v>11.0</v>
      </c>
    </row>
    <row r="16" ht="13.5" customHeight="1">
      <c r="A16" s="2">
        <v>14.0</v>
      </c>
      <c r="B16" s="2">
        <v>11.0</v>
      </c>
      <c r="C16" s="2">
        <v>11.0</v>
      </c>
      <c r="D16" s="2">
        <v>11.0</v>
      </c>
      <c r="E16" s="2">
        <v>11.0</v>
      </c>
      <c r="F16" s="2">
        <v>11.0</v>
      </c>
      <c r="G16" s="2">
        <v>11.0</v>
      </c>
    </row>
    <row r="17" ht="13.5" customHeight="1">
      <c r="A17" s="2">
        <v>15.0</v>
      </c>
      <c r="B17" s="2">
        <v>11.0</v>
      </c>
      <c r="C17" s="2">
        <v>11.0</v>
      </c>
      <c r="D17" s="2">
        <v>11.0</v>
      </c>
      <c r="E17" s="2">
        <v>11.0</v>
      </c>
      <c r="G17" s="2">
        <v>11.0</v>
      </c>
    </row>
    <row r="18" ht="13.5" customHeight="1">
      <c r="A18" s="2">
        <v>16.0</v>
      </c>
      <c r="B18" s="2">
        <v>7.0</v>
      </c>
      <c r="C18" s="2">
        <v>7.0</v>
      </c>
      <c r="D18" s="2">
        <v>7.0</v>
      </c>
      <c r="E18" s="2">
        <v>7.0</v>
      </c>
      <c r="F18" s="2">
        <v>7.0</v>
      </c>
      <c r="G18" s="2">
        <v>7.0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</row>
    <row r="20" ht="13.5" customHeight="1">
      <c r="A20" s="2">
        <v>18.0</v>
      </c>
      <c r="B20" s="2">
        <v>11.0</v>
      </c>
      <c r="C20" s="2">
        <v>11.0</v>
      </c>
      <c r="D20" s="2">
        <v>11.0</v>
      </c>
      <c r="E20" s="2">
        <v>11.0</v>
      </c>
      <c r="F20" s="2">
        <v>11.0</v>
      </c>
      <c r="G20" s="2">
        <v>11.0</v>
      </c>
    </row>
    <row r="21" ht="13.5" customHeight="1">
      <c r="A21" s="2">
        <v>19.0</v>
      </c>
      <c r="B21" s="2">
        <v>11.0</v>
      </c>
      <c r="C21" s="2">
        <v>11.0</v>
      </c>
      <c r="D21" s="2">
        <v>11.0</v>
      </c>
      <c r="E21" s="2">
        <v>11.0</v>
      </c>
      <c r="F21" s="2">
        <v>11.0</v>
      </c>
      <c r="G21" s="2">
        <v>11.0</v>
      </c>
    </row>
    <row r="22" ht="13.5" customHeight="1">
      <c r="A22" s="2">
        <v>20.0</v>
      </c>
      <c r="B22" s="2">
        <v>11.0</v>
      </c>
      <c r="C22" s="2">
        <v>11.0</v>
      </c>
      <c r="D22" s="2">
        <v>11.0</v>
      </c>
      <c r="E22" s="2">
        <v>11.0</v>
      </c>
      <c r="F22" s="2">
        <v>11.0</v>
      </c>
      <c r="G22" s="2">
        <v>11.0</v>
      </c>
    </row>
    <row r="23" ht="13.5" customHeight="1">
      <c r="A23" s="2">
        <v>21.0</v>
      </c>
      <c r="B23" s="2">
        <v>11.0</v>
      </c>
      <c r="C23" s="2">
        <v>11.0</v>
      </c>
      <c r="D23" s="2">
        <v>11.0</v>
      </c>
      <c r="E23" s="2">
        <v>11.0</v>
      </c>
      <c r="F23" s="2">
        <v>11.0</v>
      </c>
      <c r="G23" s="2">
        <v>11.0</v>
      </c>
    </row>
    <row r="24" ht="13.5" customHeight="1">
      <c r="A24" s="2">
        <v>22.0</v>
      </c>
      <c r="B24" s="2">
        <v>11.0</v>
      </c>
      <c r="C24" s="2">
        <v>11.0</v>
      </c>
      <c r="D24" s="2">
        <v>11.0</v>
      </c>
      <c r="E24" s="2">
        <v>11.0</v>
      </c>
      <c r="F24" s="2">
        <v>11.0</v>
      </c>
      <c r="G24" s="2">
        <v>11.0</v>
      </c>
    </row>
    <row r="25" ht="13.5" customHeight="1">
      <c r="A25" s="2">
        <v>23.0</v>
      </c>
      <c r="B25" s="2">
        <v>7.0</v>
      </c>
      <c r="C25" s="2">
        <v>7.0</v>
      </c>
      <c r="E25" s="2">
        <v>7.0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</row>
    <row r="27" ht="13.5" customHeight="1">
      <c r="A27" s="2">
        <v>25.0</v>
      </c>
      <c r="B27" s="2">
        <v>11.0</v>
      </c>
      <c r="C27" s="2">
        <v>11.0</v>
      </c>
      <c r="E27" s="2">
        <v>11.0</v>
      </c>
      <c r="F27" s="2">
        <v>11.0</v>
      </c>
      <c r="G27" s="2">
        <v>11.0</v>
      </c>
    </row>
    <row r="28" ht="13.5" customHeight="1">
      <c r="A28" s="2">
        <v>26.0</v>
      </c>
      <c r="B28" s="2">
        <v>11.0</v>
      </c>
      <c r="C28" s="2">
        <v>11.0</v>
      </c>
      <c r="D28" s="2">
        <v>11.0</v>
      </c>
      <c r="E28" s="2">
        <v>11.0</v>
      </c>
      <c r="F28" s="2">
        <v>11.0</v>
      </c>
      <c r="G28" s="2">
        <v>11.0</v>
      </c>
    </row>
    <row r="29" ht="13.5" customHeight="1">
      <c r="A29" s="2">
        <v>27.0</v>
      </c>
      <c r="B29" s="2">
        <v>11.0</v>
      </c>
      <c r="C29" s="2">
        <v>11.0</v>
      </c>
      <c r="D29" s="2">
        <v>11.0</v>
      </c>
      <c r="E29" s="2">
        <v>11.0</v>
      </c>
      <c r="F29" s="2">
        <v>11.0</v>
      </c>
      <c r="G29" s="2">
        <v>11.0</v>
      </c>
    </row>
    <row r="30" ht="13.5" customHeight="1">
      <c r="A30" s="2">
        <v>28.0</v>
      </c>
      <c r="B30" s="23"/>
      <c r="C30" s="2">
        <v>11.0</v>
      </c>
      <c r="D30" s="2">
        <v>11.0</v>
      </c>
      <c r="E30" s="2">
        <v>11.0</v>
      </c>
      <c r="F30" s="2">
        <v>11.0</v>
      </c>
      <c r="G30" s="2">
        <v>11.0</v>
      </c>
    </row>
    <row r="31" ht="13.5" customHeight="1">
      <c r="A31" s="2">
        <v>29.0</v>
      </c>
      <c r="B31" s="23"/>
      <c r="C31" s="2">
        <v>11.0</v>
      </c>
      <c r="D31" s="2">
        <v>11.0</v>
      </c>
      <c r="E31" s="2">
        <v>11.0</v>
      </c>
      <c r="F31" s="2">
        <v>11.0</v>
      </c>
      <c r="G31" s="2">
        <v>11.0</v>
      </c>
    </row>
    <row r="32" ht="13.5" customHeight="1">
      <c r="A32" s="2">
        <v>30.0</v>
      </c>
      <c r="B32" s="2">
        <v>7.0</v>
      </c>
      <c r="C32" s="2">
        <v>7.0</v>
      </c>
      <c r="D32" s="2">
        <v>7.0</v>
      </c>
      <c r="E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</row>
    <row r="34" ht="13.5" customHeight="1">
      <c r="A34" s="3" t="s">
        <v>11</v>
      </c>
      <c r="B34" s="2">
        <f t="shared" ref="B34:G34" si="1">SUM(B3:B33)</f>
        <v>244</v>
      </c>
      <c r="C34" s="2">
        <f t="shared" si="1"/>
        <v>266</v>
      </c>
      <c r="D34" s="2">
        <f t="shared" si="1"/>
        <v>248</v>
      </c>
      <c r="E34" s="2">
        <f t="shared" si="1"/>
        <v>266</v>
      </c>
      <c r="F34" s="2">
        <f t="shared" si="1"/>
        <v>230</v>
      </c>
      <c r="G34" s="2">
        <f t="shared" si="1"/>
        <v>252</v>
      </c>
    </row>
    <row r="35" ht="13.5" customHeight="1"/>
    <row r="36" ht="13.5" customHeight="1">
      <c r="C36" s="2">
        <f>266-252</f>
        <v>14</v>
      </c>
      <c r="E36" s="2">
        <f>266-252</f>
        <v>14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" width="8.63"/>
    <col customWidth="1" min="3" max="3" width="10.25"/>
    <col customWidth="1" min="4" max="26" width="8.63"/>
  </cols>
  <sheetData>
    <row r="1" ht="13.5" customHeight="1">
      <c r="A1" s="3" t="s">
        <v>15</v>
      </c>
      <c r="B1" s="2" t="s">
        <v>155</v>
      </c>
      <c r="C1" s="11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138</v>
      </c>
      <c r="J1" s="2" t="s">
        <v>162</v>
      </c>
    </row>
    <row r="2" ht="13.5" customHeight="1">
      <c r="B2" s="2" t="s">
        <v>163</v>
      </c>
      <c r="C2" s="2" t="s">
        <v>103</v>
      </c>
      <c r="D2" s="2" t="s">
        <v>164</v>
      </c>
      <c r="E2" s="2" t="s">
        <v>74</v>
      </c>
      <c r="F2" s="2" t="s">
        <v>165</v>
      </c>
      <c r="G2" s="2" t="s">
        <v>166</v>
      </c>
      <c r="H2" s="2" t="s">
        <v>167</v>
      </c>
      <c r="I2" s="2" t="s">
        <v>139</v>
      </c>
      <c r="J2" s="2" t="s">
        <v>168</v>
      </c>
    </row>
    <row r="3" ht="13.5" customHeight="1">
      <c r="A3" s="2">
        <v>1.0</v>
      </c>
      <c r="B3" s="2">
        <v>7.0</v>
      </c>
      <c r="C3" s="2">
        <v>7.0</v>
      </c>
      <c r="D3" s="2">
        <v>12.0</v>
      </c>
      <c r="E3" s="2">
        <v>7.0</v>
      </c>
      <c r="F3" s="2">
        <v>7.0</v>
      </c>
      <c r="G3" s="2">
        <v>7.0</v>
      </c>
      <c r="H3" s="2">
        <v>8.0</v>
      </c>
      <c r="I3" s="2">
        <v>8.0</v>
      </c>
      <c r="J3" s="2">
        <v>7.0</v>
      </c>
    </row>
    <row r="4" ht="13.5" customHeight="1">
      <c r="A4" s="2">
        <v>2.0</v>
      </c>
      <c r="B4" s="2">
        <v>8.0</v>
      </c>
      <c r="C4" s="2">
        <v>8.0</v>
      </c>
      <c r="D4" s="2">
        <v>8.0</v>
      </c>
      <c r="E4" s="2">
        <v>8.0</v>
      </c>
      <c r="F4" s="3" t="s">
        <v>26</v>
      </c>
      <c r="G4" s="3" t="s">
        <v>26</v>
      </c>
      <c r="H4" s="2">
        <v>8.0</v>
      </c>
      <c r="I4" s="2">
        <v>8.0</v>
      </c>
      <c r="J4" s="2">
        <v>8.0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  <c r="F6" s="2">
        <v>10.0</v>
      </c>
      <c r="G6" s="2">
        <v>10.0</v>
      </c>
      <c r="H6" s="2">
        <v>10.0</v>
      </c>
      <c r="I6" s="2">
        <v>10.0</v>
      </c>
      <c r="J6" s="2">
        <v>10.0</v>
      </c>
    </row>
    <row r="7" ht="13.5" customHeight="1">
      <c r="A7" s="2">
        <v>5.0</v>
      </c>
      <c r="B7" s="2">
        <v>10.0</v>
      </c>
      <c r="C7" s="2">
        <v>10.0</v>
      </c>
      <c r="D7" s="2">
        <v>10.0</v>
      </c>
      <c r="E7" s="2">
        <v>10.0</v>
      </c>
      <c r="F7" s="2">
        <v>10.0</v>
      </c>
      <c r="G7" s="2">
        <v>10.0</v>
      </c>
      <c r="H7" s="2">
        <v>10.0</v>
      </c>
      <c r="I7" s="2">
        <v>10.0</v>
      </c>
      <c r="J7" s="2">
        <v>10.0</v>
      </c>
    </row>
    <row r="8" ht="13.5" customHeight="1">
      <c r="A8" s="2">
        <v>6.0</v>
      </c>
      <c r="B8" s="2">
        <v>10.0</v>
      </c>
      <c r="C8" s="2">
        <v>10.0</v>
      </c>
      <c r="D8" s="2">
        <v>10.0</v>
      </c>
      <c r="E8" s="2">
        <v>10.0</v>
      </c>
      <c r="F8" s="2">
        <v>10.0</v>
      </c>
      <c r="G8" s="2">
        <v>10.0</v>
      </c>
      <c r="H8" s="2">
        <v>10.0</v>
      </c>
      <c r="I8" s="2">
        <v>10.0</v>
      </c>
      <c r="J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  <c r="F9" s="2">
        <v>10.0</v>
      </c>
      <c r="G9" s="2">
        <v>10.0</v>
      </c>
      <c r="H9" s="2">
        <v>10.0</v>
      </c>
      <c r="I9" s="2">
        <v>10.0</v>
      </c>
      <c r="J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  <c r="F10" s="2">
        <v>10.0</v>
      </c>
      <c r="G10" s="2">
        <v>10.0</v>
      </c>
      <c r="H10" s="2">
        <v>10.0</v>
      </c>
      <c r="I10" s="2">
        <v>10.0</v>
      </c>
      <c r="J10" s="2">
        <v>10.0</v>
      </c>
    </row>
    <row r="11" ht="13.5" customHeight="1">
      <c r="A11" s="2">
        <v>9.0</v>
      </c>
      <c r="B11" s="2">
        <v>7.0</v>
      </c>
      <c r="C11" s="2">
        <v>7.0</v>
      </c>
      <c r="D11" s="2">
        <v>7.0</v>
      </c>
      <c r="E11" s="2">
        <v>7.0</v>
      </c>
      <c r="F11" s="2">
        <v>7.0</v>
      </c>
      <c r="G11" s="2">
        <v>7.0</v>
      </c>
      <c r="H11" s="2">
        <v>7.0</v>
      </c>
      <c r="I11" s="2">
        <v>7.0</v>
      </c>
      <c r="J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</row>
    <row r="13" ht="13.5" customHeight="1">
      <c r="A13" s="2">
        <v>11.0</v>
      </c>
      <c r="B13" s="2">
        <v>8.0</v>
      </c>
      <c r="C13" s="2">
        <v>8.0</v>
      </c>
      <c r="D13" s="2">
        <v>8.0</v>
      </c>
      <c r="E13" s="2">
        <v>8.0</v>
      </c>
      <c r="F13" s="2">
        <v>8.0</v>
      </c>
      <c r="G13" s="2">
        <v>8.0</v>
      </c>
      <c r="H13" s="2">
        <v>9.0</v>
      </c>
      <c r="I13" s="2">
        <v>9.0</v>
      </c>
      <c r="J13" s="2">
        <v>8.0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  <c r="F14" s="2">
        <v>10.0</v>
      </c>
      <c r="G14" s="2">
        <v>10.0</v>
      </c>
      <c r="H14" s="2">
        <v>10.0</v>
      </c>
      <c r="I14" s="2">
        <v>10.0</v>
      </c>
      <c r="J14" s="2">
        <v>10.0</v>
      </c>
    </row>
    <row r="15" ht="13.5" customHeight="1">
      <c r="A15" s="2">
        <v>13.0</v>
      </c>
      <c r="B15" s="2">
        <v>10.0</v>
      </c>
      <c r="C15" s="2">
        <v>10.0</v>
      </c>
      <c r="D15" s="2">
        <v>10.0</v>
      </c>
      <c r="E15" s="2">
        <v>10.0</v>
      </c>
      <c r="F15" s="2">
        <v>10.0</v>
      </c>
      <c r="G15" s="2">
        <v>10.0</v>
      </c>
      <c r="H15" s="2">
        <v>10.0</v>
      </c>
      <c r="I15" s="2">
        <v>10.0</v>
      </c>
      <c r="J15" s="2">
        <v>10.0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  <c r="F16" s="2">
        <v>10.0</v>
      </c>
      <c r="G16" s="2">
        <v>10.0</v>
      </c>
      <c r="H16" s="2">
        <v>10.0</v>
      </c>
      <c r="I16" s="2">
        <v>10.0</v>
      </c>
      <c r="J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  <c r="F17" s="2">
        <v>10.0</v>
      </c>
      <c r="G17" s="2">
        <v>10.0</v>
      </c>
      <c r="H17" s="2">
        <v>10.0</v>
      </c>
      <c r="I17" s="2">
        <v>10.0</v>
      </c>
      <c r="J17" s="2">
        <v>10.0</v>
      </c>
    </row>
    <row r="18" ht="13.5" customHeight="1">
      <c r="A18" s="2">
        <v>16.0</v>
      </c>
      <c r="B18" s="2">
        <v>7.0</v>
      </c>
      <c r="C18" s="2">
        <v>7.0</v>
      </c>
      <c r="D18" s="2">
        <v>7.0</v>
      </c>
      <c r="E18" s="2">
        <v>7.0</v>
      </c>
      <c r="F18" s="2">
        <v>7.0</v>
      </c>
      <c r="G18" s="2">
        <v>7.0</v>
      </c>
      <c r="H18" s="2">
        <v>8.0</v>
      </c>
      <c r="I18" s="2">
        <v>8.0</v>
      </c>
      <c r="J18" s="2">
        <v>7.0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</row>
    <row r="20" ht="13.5" customHeight="1">
      <c r="A20" s="2">
        <v>18.0</v>
      </c>
      <c r="B20" s="2">
        <v>10.0</v>
      </c>
      <c r="C20" s="2">
        <v>10.0</v>
      </c>
      <c r="E20" s="2">
        <v>10.0</v>
      </c>
      <c r="F20" s="2">
        <v>10.0</v>
      </c>
      <c r="G20" s="2">
        <v>10.0</v>
      </c>
      <c r="H20" s="2">
        <v>10.0</v>
      </c>
      <c r="I20" s="12"/>
      <c r="J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  <c r="F21" s="2">
        <v>10.0</v>
      </c>
      <c r="G21" s="2">
        <v>10.0</v>
      </c>
      <c r="H21" s="2">
        <v>10.0</v>
      </c>
      <c r="I21" s="12"/>
      <c r="J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  <c r="F22" s="2">
        <v>10.0</v>
      </c>
      <c r="G22" s="2">
        <v>10.0</v>
      </c>
      <c r="H22" s="2">
        <v>10.0</v>
      </c>
      <c r="I22" s="12"/>
      <c r="J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11.0</v>
      </c>
      <c r="E23" s="2">
        <v>10.0</v>
      </c>
      <c r="F23" s="2">
        <v>10.0</v>
      </c>
      <c r="G23" s="2">
        <v>11.0</v>
      </c>
      <c r="H23" s="2">
        <v>10.0</v>
      </c>
      <c r="I23" s="12"/>
      <c r="J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10.0</v>
      </c>
      <c r="F24" s="2">
        <v>10.0</v>
      </c>
      <c r="G24" s="2">
        <v>10.0</v>
      </c>
      <c r="H24" s="2">
        <v>10.0</v>
      </c>
      <c r="I24" s="12"/>
      <c r="J24" s="2">
        <v>10.0</v>
      </c>
    </row>
    <row r="25" ht="13.5" customHeight="1">
      <c r="A25" s="2">
        <v>23.0</v>
      </c>
      <c r="B25" s="2">
        <v>7.0</v>
      </c>
      <c r="C25" s="2">
        <v>7.0</v>
      </c>
      <c r="D25" s="2">
        <v>7.5</v>
      </c>
      <c r="E25" s="2">
        <v>7.0</v>
      </c>
      <c r="F25" s="2">
        <v>7.0</v>
      </c>
      <c r="G25" s="2">
        <v>7.5</v>
      </c>
      <c r="H25" s="2">
        <v>8.0</v>
      </c>
      <c r="I25" s="12"/>
      <c r="J25" s="2">
        <v>7.0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12"/>
      <c r="J26" s="3" t="s">
        <v>5</v>
      </c>
    </row>
    <row r="27" ht="13.5" customHeight="1">
      <c r="A27" s="2">
        <v>25.0</v>
      </c>
      <c r="B27" s="2">
        <v>10.0</v>
      </c>
      <c r="C27" s="3" t="s">
        <v>26</v>
      </c>
      <c r="D27" s="2">
        <v>10.0</v>
      </c>
      <c r="E27" s="2">
        <v>10.0</v>
      </c>
      <c r="F27" s="2">
        <v>10.0</v>
      </c>
      <c r="G27" s="2">
        <v>10.0</v>
      </c>
      <c r="H27" s="2">
        <v>10.0</v>
      </c>
      <c r="I27" s="12"/>
      <c r="J27" s="2">
        <v>10.0</v>
      </c>
    </row>
    <row r="28" ht="13.5" customHeight="1">
      <c r="A28" s="2">
        <v>26.0</v>
      </c>
      <c r="B28" s="2">
        <v>10.0</v>
      </c>
      <c r="C28" s="3" t="s">
        <v>26</v>
      </c>
      <c r="D28" s="2">
        <v>11.0</v>
      </c>
      <c r="E28" s="2">
        <v>10.0</v>
      </c>
      <c r="F28" s="2">
        <v>10.0</v>
      </c>
      <c r="G28" s="2">
        <v>11.0</v>
      </c>
      <c r="H28" s="2">
        <v>10.0</v>
      </c>
      <c r="I28" s="12"/>
      <c r="J28" s="2">
        <v>10.0</v>
      </c>
    </row>
    <row r="29" ht="13.5" customHeight="1">
      <c r="A29" s="2">
        <v>27.0</v>
      </c>
      <c r="B29" s="2">
        <v>10.0</v>
      </c>
      <c r="C29" s="3" t="s">
        <v>26</v>
      </c>
      <c r="D29" s="2">
        <v>9.0</v>
      </c>
      <c r="E29" s="2">
        <v>10.0</v>
      </c>
      <c r="F29" s="2">
        <v>10.0</v>
      </c>
      <c r="G29" s="2">
        <v>10.0</v>
      </c>
      <c r="H29" s="2">
        <v>10.0</v>
      </c>
      <c r="I29" s="12"/>
      <c r="J29" s="2">
        <v>10.0</v>
      </c>
    </row>
    <row r="30" ht="13.5" customHeight="1">
      <c r="A30" s="2">
        <v>28.0</v>
      </c>
      <c r="B30" s="2">
        <v>10.0</v>
      </c>
      <c r="C30" s="3" t="s">
        <v>26</v>
      </c>
      <c r="D30" s="2">
        <v>10.0</v>
      </c>
      <c r="E30" s="2">
        <v>10.0</v>
      </c>
      <c r="F30" s="2">
        <v>10.0</v>
      </c>
      <c r="G30" s="2">
        <v>10.0</v>
      </c>
      <c r="H30" s="2">
        <v>10.0</v>
      </c>
      <c r="I30" s="12"/>
      <c r="J30" s="2">
        <v>10.0</v>
      </c>
    </row>
    <row r="31" ht="13.5" customHeight="1">
      <c r="A31" s="2">
        <v>29.0</v>
      </c>
      <c r="B31" s="2">
        <v>10.0</v>
      </c>
      <c r="C31" s="3" t="s">
        <v>26</v>
      </c>
      <c r="D31" s="2">
        <v>10.0</v>
      </c>
      <c r="E31" s="2">
        <v>10.0</v>
      </c>
      <c r="F31" s="2">
        <v>10.0</v>
      </c>
      <c r="G31" s="2">
        <v>10.0</v>
      </c>
      <c r="H31" s="2">
        <v>10.0</v>
      </c>
      <c r="I31" s="12"/>
      <c r="J31" s="2">
        <v>10.0</v>
      </c>
    </row>
    <row r="32" ht="13.5" customHeight="1">
      <c r="A32" s="2">
        <v>30.0</v>
      </c>
      <c r="B32" s="2">
        <v>5.0</v>
      </c>
      <c r="C32" s="3" t="s">
        <v>26</v>
      </c>
      <c r="D32" s="2">
        <v>5.0</v>
      </c>
      <c r="E32" s="2">
        <v>7.0</v>
      </c>
      <c r="F32" s="2">
        <v>5.0</v>
      </c>
      <c r="G32" s="2">
        <v>5.0</v>
      </c>
      <c r="H32" s="2">
        <v>7.0</v>
      </c>
      <c r="I32" s="12"/>
      <c r="J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12"/>
      <c r="J33" s="3" t="s">
        <v>5</v>
      </c>
    </row>
    <row r="34" ht="13.5" customHeight="1">
      <c r="A34" s="3" t="s">
        <v>11</v>
      </c>
      <c r="B34" s="2">
        <f t="shared" ref="B34:J34" si="1">SUM(B3:B33)</f>
        <v>239</v>
      </c>
      <c r="C34" s="2">
        <f t="shared" si="1"/>
        <v>184</v>
      </c>
      <c r="D34" s="2">
        <f t="shared" si="1"/>
        <v>235.5</v>
      </c>
      <c r="E34" s="2">
        <f t="shared" si="1"/>
        <v>241</v>
      </c>
      <c r="F34" s="2">
        <f t="shared" si="1"/>
        <v>231</v>
      </c>
      <c r="G34" s="2">
        <f t="shared" si="1"/>
        <v>233.5</v>
      </c>
      <c r="H34" s="2">
        <f t="shared" si="1"/>
        <v>245</v>
      </c>
      <c r="I34" s="2">
        <f t="shared" si="1"/>
        <v>130</v>
      </c>
      <c r="J34" s="2">
        <f t="shared" si="1"/>
        <v>241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169</v>
      </c>
      <c r="C1" s="2" t="s">
        <v>170</v>
      </c>
      <c r="D1" s="2" t="s">
        <v>171</v>
      </c>
      <c r="E1" s="2" t="s">
        <v>172</v>
      </c>
    </row>
    <row r="2" ht="13.5" customHeight="1">
      <c r="B2" s="2" t="s">
        <v>108</v>
      </c>
      <c r="C2" s="2" t="s">
        <v>173</v>
      </c>
      <c r="D2" s="2" t="s">
        <v>174</v>
      </c>
      <c r="E2" s="2" t="s">
        <v>175</v>
      </c>
    </row>
    <row r="3" ht="13.5" customHeight="1">
      <c r="A3" s="2">
        <v>1.0</v>
      </c>
      <c r="B3" s="2">
        <v>10.0</v>
      </c>
      <c r="C3" s="2">
        <v>10.0</v>
      </c>
      <c r="D3" s="2">
        <v>10.0</v>
      </c>
      <c r="E3" s="2">
        <v>10.0</v>
      </c>
    </row>
    <row r="4" ht="13.5" customHeight="1">
      <c r="A4" s="2">
        <v>2.0</v>
      </c>
      <c r="B4" s="2">
        <v>5.0</v>
      </c>
      <c r="C4" s="2">
        <v>5.0</v>
      </c>
      <c r="D4" s="2">
        <v>6.0</v>
      </c>
      <c r="E4" s="2">
        <v>5.0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</row>
    <row r="7" ht="13.5" customHeight="1">
      <c r="A7" s="2">
        <v>5.0</v>
      </c>
      <c r="B7" s="2">
        <v>10.0</v>
      </c>
      <c r="C7" s="2">
        <v>10.0</v>
      </c>
      <c r="D7" s="2">
        <v>10.0</v>
      </c>
      <c r="E7" s="2">
        <v>10.0</v>
      </c>
    </row>
    <row r="8" ht="13.5" customHeight="1">
      <c r="A8" s="2">
        <v>6.0</v>
      </c>
      <c r="B8" s="2">
        <v>10.0</v>
      </c>
      <c r="C8" s="2">
        <v>10.0</v>
      </c>
      <c r="D8" s="2">
        <v>10.0</v>
      </c>
      <c r="E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</row>
    <row r="11" ht="13.5" customHeight="1">
      <c r="A11" s="2">
        <v>9.0</v>
      </c>
      <c r="B11" s="2">
        <v>5.0</v>
      </c>
      <c r="C11" s="2">
        <v>5.0</v>
      </c>
      <c r="D11" s="2">
        <v>6.0</v>
      </c>
      <c r="E11" s="2">
        <v>5.0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3" t="s">
        <v>26</v>
      </c>
      <c r="E13" s="2">
        <v>10.0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</row>
    <row r="15" ht="13.5" customHeight="1">
      <c r="A15" s="2">
        <v>13.0</v>
      </c>
      <c r="B15" s="3" t="s">
        <v>26</v>
      </c>
      <c r="C15" s="3" t="s">
        <v>26</v>
      </c>
      <c r="D15" s="3" t="s">
        <v>26</v>
      </c>
      <c r="E15" s="3" t="s">
        <v>26</v>
      </c>
    </row>
    <row r="16" ht="13.5" customHeight="1">
      <c r="A16" s="2">
        <v>14.0</v>
      </c>
      <c r="B16" s="2">
        <v>11.0</v>
      </c>
      <c r="C16" s="2">
        <v>10.0</v>
      </c>
      <c r="D16" s="2">
        <v>10.0</v>
      </c>
      <c r="E16" s="2">
        <v>11.0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</row>
    <row r="18" ht="13.5" customHeight="1">
      <c r="A18" s="2">
        <v>16.0</v>
      </c>
      <c r="B18" s="2">
        <v>5.0</v>
      </c>
      <c r="C18" s="2">
        <v>5.0</v>
      </c>
      <c r="D18" s="2">
        <v>6.0</v>
      </c>
      <c r="E18" s="2">
        <v>5.0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10.0</v>
      </c>
    </row>
    <row r="25" ht="13.5" customHeight="1">
      <c r="A25" s="2">
        <v>23.0</v>
      </c>
      <c r="B25" s="2">
        <v>5.0</v>
      </c>
      <c r="C25" s="2">
        <v>5.0</v>
      </c>
      <c r="D25" s="2">
        <v>6.0</v>
      </c>
      <c r="E25" s="2">
        <v>5.0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10.0</v>
      </c>
    </row>
    <row r="28" ht="13.5" customHeight="1">
      <c r="A28" s="2">
        <v>26.0</v>
      </c>
      <c r="B28" s="2">
        <v>10.0</v>
      </c>
      <c r="C28" s="2">
        <v>10.0</v>
      </c>
      <c r="D28" s="2">
        <v>10.0</v>
      </c>
      <c r="E28" s="2">
        <v>10.0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2">
        <v>10.0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</row>
    <row r="32" ht="13.5" customHeight="1">
      <c r="A32" s="2">
        <v>30.0</v>
      </c>
      <c r="B32" s="2">
        <v>5.0</v>
      </c>
      <c r="C32" s="2">
        <v>5.0</v>
      </c>
      <c r="D32" s="2">
        <v>6.0</v>
      </c>
      <c r="E32" s="2">
        <v>5.0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226</v>
      </c>
      <c r="C34" s="2">
        <f t="shared" si="1"/>
        <v>225</v>
      </c>
      <c r="D34" s="2">
        <f t="shared" si="1"/>
        <v>220</v>
      </c>
      <c r="E34" s="2">
        <f t="shared" si="1"/>
        <v>226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176</v>
      </c>
      <c r="C1" s="11" t="s">
        <v>177</v>
      </c>
      <c r="D1" s="2" t="s">
        <v>178</v>
      </c>
      <c r="E1" s="2" t="s">
        <v>179</v>
      </c>
    </row>
    <row r="2" ht="13.5" customHeight="1">
      <c r="B2" s="2" t="s">
        <v>180</v>
      </c>
      <c r="C2" s="2" t="s">
        <v>181</v>
      </c>
      <c r="D2" s="2" t="s">
        <v>182</v>
      </c>
      <c r="E2" s="2" t="s">
        <v>183</v>
      </c>
    </row>
    <row r="3" ht="13.5" customHeight="1">
      <c r="A3" s="2">
        <v>1.0</v>
      </c>
      <c r="B3" s="3" t="s">
        <v>26</v>
      </c>
      <c r="D3" s="2">
        <v>9.5</v>
      </c>
      <c r="E3" s="3" t="s">
        <v>26</v>
      </c>
    </row>
    <row r="4" ht="13.5" customHeight="1">
      <c r="A4" s="2">
        <v>2.0</v>
      </c>
      <c r="B4" s="3" t="s">
        <v>20</v>
      </c>
      <c r="D4" s="3" t="s">
        <v>26</v>
      </c>
      <c r="E4" s="3" t="s">
        <v>26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8.0</v>
      </c>
      <c r="D6" s="2">
        <v>11.0</v>
      </c>
      <c r="E6" s="2">
        <v>11.0</v>
      </c>
    </row>
    <row r="7" ht="13.5" customHeight="1">
      <c r="A7" s="2">
        <v>5.0</v>
      </c>
      <c r="B7" s="2">
        <v>8.0</v>
      </c>
      <c r="C7" s="2">
        <v>9.0</v>
      </c>
      <c r="D7" s="2">
        <v>8.5</v>
      </c>
      <c r="E7" s="2">
        <v>8.5</v>
      </c>
    </row>
    <row r="8" ht="13.5" customHeight="1">
      <c r="A8" s="2">
        <v>6.0</v>
      </c>
      <c r="B8" s="2">
        <v>8.0</v>
      </c>
      <c r="C8" s="2">
        <v>10.0</v>
      </c>
      <c r="D8" s="2">
        <v>10.0</v>
      </c>
      <c r="E8" s="2">
        <v>10.0</v>
      </c>
    </row>
    <row r="9" ht="13.5" customHeight="1">
      <c r="A9" s="2">
        <v>7.0</v>
      </c>
      <c r="B9" s="2">
        <v>7.0</v>
      </c>
      <c r="C9" s="2">
        <v>9.5</v>
      </c>
      <c r="D9" s="2">
        <v>11.0</v>
      </c>
      <c r="E9" s="2">
        <v>11.0</v>
      </c>
    </row>
    <row r="10" ht="13.5" customHeight="1">
      <c r="A10" s="2">
        <v>8.0</v>
      </c>
      <c r="B10" s="2">
        <v>6.0</v>
      </c>
      <c r="C10" s="2">
        <v>9.5</v>
      </c>
      <c r="D10" s="2">
        <v>10.5</v>
      </c>
      <c r="E10" s="2">
        <v>10.5</v>
      </c>
    </row>
    <row r="11" ht="13.5" customHeight="1">
      <c r="A11" s="2">
        <v>9.0</v>
      </c>
      <c r="B11" s="2">
        <v>6.0</v>
      </c>
      <c r="D11" s="3" t="s">
        <v>26</v>
      </c>
      <c r="E11" s="15" t="s">
        <v>20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7.0</v>
      </c>
      <c r="C13" s="2">
        <v>9.5</v>
      </c>
      <c r="D13" s="2">
        <v>11.5</v>
      </c>
      <c r="E13" s="15" t="s">
        <v>26</v>
      </c>
    </row>
    <row r="14" ht="13.5" customHeight="1">
      <c r="A14" s="2">
        <v>12.0</v>
      </c>
      <c r="B14" s="2">
        <v>9.5</v>
      </c>
      <c r="C14" s="2">
        <v>9.5</v>
      </c>
      <c r="D14" s="2">
        <v>8.5</v>
      </c>
      <c r="E14" s="3" t="s">
        <v>111</v>
      </c>
    </row>
    <row r="15" ht="13.5" customHeight="1">
      <c r="A15" s="2">
        <v>13.0</v>
      </c>
      <c r="B15" s="3" t="s">
        <v>26</v>
      </c>
      <c r="D15" s="2">
        <v>9.5</v>
      </c>
      <c r="E15" s="3" t="s">
        <v>111</v>
      </c>
    </row>
    <row r="16" ht="13.5" customHeight="1">
      <c r="A16" s="2">
        <v>14.0</v>
      </c>
      <c r="B16" s="2">
        <v>9.5</v>
      </c>
      <c r="C16" s="2">
        <v>9.5</v>
      </c>
      <c r="D16" s="2">
        <v>10.5</v>
      </c>
      <c r="E16" s="3" t="s">
        <v>111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3" t="s">
        <v>111</v>
      </c>
    </row>
    <row r="18" ht="13.5" customHeight="1">
      <c r="A18" s="2">
        <v>16.0</v>
      </c>
      <c r="B18" s="2">
        <v>5.0</v>
      </c>
      <c r="C18" s="2">
        <v>5.0</v>
      </c>
      <c r="D18" s="3" t="s">
        <v>26</v>
      </c>
      <c r="E18" s="3" t="s">
        <v>111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3" t="s">
        <v>26</v>
      </c>
      <c r="D20" s="2">
        <v>11.5</v>
      </c>
      <c r="E20" s="3" t="s">
        <v>111</v>
      </c>
    </row>
    <row r="21" ht="13.5" customHeight="1">
      <c r="A21" s="2">
        <v>19.0</v>
      </c>
      <c r="B21" s="2">
        <v>9.5</v>
      </c>
      <c r="C21" s="2">
        <v>9.5</v>
      </c>
      <c r="D21" s="2">
        <v>9.5</v>
      </c>
      <c r="E21" s="3" t="s">
        <v>111</v>
      </c>
    </row>
    <row r="22" ht="13.5" customHeight="1">
      <c r="A22" s="2">
        <v>20.0</v>
      </c>
      <c r="B22" s="2">
        <v>9.5</v>
      </c>
      <c r="C22" s="2">
        <v>9.5</v>
      </c>
      <c r="D22" s="2">
        <v>8.5</v>
      </c>
      <c r="E22" s="3" t="s">
        <v>111</v>
      </c>
    </row>
    <row r="23" ht="13.5" customHeight="1">
      <c r="A23" s="2">
        <v>21.0</v>
      </c>
      <c r="B23" s="3" t="s">
        <v>26</v>
      </c>
      <c r="C23" s="2">
        <v>10.0</v>
      </c>
      <c r="D23" s="2">
        <v>10.0</v>
      </c>
      <c r="E23" s="3" t="s">
        <v>111</v>
      </c>
    </row>
    <row r="24" ht="13.5" customHeight="1">
      <c r="A24" s="2">
        <v>22.0</v>
      </c>
      <c r="B24" s="2">
        <v>8.5</v>
      </c>
      <c r="C24" s="2">
        <v>8.0</v>
      </c>
      <c r="D24" s="2">
        <v>8.5</v>
      </c>
      <c r="E24" s="3" t="s">
        <v>111</v>
      </c>
    </row>
    <row r="25" ht="13.5" customHeight="1">
      <c r="A25" s="2">
        <v>23.0</v>
      </c>
      <c r="B25" s="3" t="s">
        <v>26</v>
      </c>
      <c r="D25" s="3" t="s">
        <v>26</v>
      </c>
      <c r="E25" s="3" t="s">
        <v>111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4.0</v>
      </c>
      <c r="C27" s="2">
        <v>4.0</v>
      </c>
      <c r="D27" s="2">
        <v>11.5</v>
      </c>
      <c r="E27" s="3" t="s">
        <v>111</v>
      </c>
    </row>
    <row r="28" ht="13.5" customHeight="1">
      <c r="A28" s="2">
        <v>26.0</v>
      </c>
      <c r="B28" s="2">
        <v>9.0</v>
      </c>
      <c r="C28" s="2">
        <v>9.0</v>
      </c>
      <c r="D28" s="2">
        <v>9.0</v>
      </c>
      <c r="E28" s="3" t="s">
        <v>111</v>
      </c>
    </row>
    <row r="29" ht="13.5" customHeight="1">
      <c r="A29" s="2">
        <v>27.0</v>
      </c>
      <c r="B29" s="2">
        <v>8.0</v>
      </c>
      <c r="D29" s="2">
        <v>8.0</v>
      </c>
      <c r="E29" s="3" t="s">
        <v>111</v>
      </c>
    </row>
    <row r="30" ht="13.5" customHeight="1">
      <c r="A30" s="2">
        <v>28.0</v>
      </c>
      <c r="B30" s="3" t="s">
        <v>26</v>
      </c>
      <c r="D30" s="2">
        <v>9.5</v>
      </c>
      <c r="E30" s="3" t="s">
        <v>111</v>
      </c>
    </row>
    <row r="31" ht="13.5" customHeight="1">
      <c r="A31" s="2">
        <v>29.0</v>
      </c>
      <c r="B31" s="2">
        <v>10.0</v>
      </c>
      <c r="C31" s="2">
        <v>10.0</v>
      </c>
      <c r="D31" s="2">
        <v>10.5</v>
      </c>
      <c r="E31" s="3" t="s">
        <v>111</v>
      </c>
    </row>
    <row r="32" ht="13.5" customHeight="1">
      <c r="A32" s="2">
        <v>30.0</v>
      </c>
      <c r="B32" s="3" t="s">
        <v>26</v>
      </c>
      <c r="C32" s="2">
        <v>10.0</v>
      </c>
      <c r="E32" s="3" t="s">
        <v>111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142.5</v>
      </c>
      <c r="C34" s="2">
        <f t="shared" si="1"/>
        <v>151.5</v>
      </c>
      <c r="D34" s="2">
        <f t="shared" si="1"/>
        <v>207</v>
      </c>
      <c r="E34" s="2">
        <f t="shared" si="1"/>
        <v>51</v>
      </c>
    </row>
    <row r="35" ht="13.5" customHeight="1"/>
    <row r="36" ht="13.5" customHeight="1"/>
    <row r="37" ht="13.5" customHeight="1">
      <c r="B37" s="2">
        <f>8*8</f>
        <v>64</v>
      </c>
    </row>
    <row r="38" ht="13.5" customHeight="1">
      <c r="B38" s="2">
        <f>142.5+64</f>
        <v>206.5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184</v>
      </c>
      <c r="C1" s="2" t="s">
        <v>185</v>
      </c>
      <c r="D1" s="2" t="s">
        <v>186</v>
      </c>
      <c r="E1" s="2" t="s">
        <v>187</v>
      </c>
      <c r="F1" s="11" t="s">
        <v>188</v>
      </c>
    </row>
    <row r="2" ht="13.5" customHeight="1">
      <c r="B2" s="2" t="s">
        <v>189</v>
      </c>
      <c r="C2" s="2" t="s">
        <v>46</v>
      </c>
      <c r="D2" s="2" t="s">
        <v>190</v>
      </c>
      <c r="E2" s="2" t="s">
        <v>97</v>
      </c>
      <c r="F2" s="2" t="s">
        <v>191</v>
      </c>
    </row>
    <row r="3" ht="13.5" customHeight="1">
      <c r="A3" s="2">
        <v>1.0</v>
      </c>
      <c r="B3" s="2">
        <v>10.0</v>
      </c>
      <c r="C3" s="2">
        <v>10.0</v>
      </c>
      <c r="D3" s="3" t="s">
        <v>20</v>
      </c>
      <c r="E3" s="2">
        <v>10.0</v>
      </c>
      <c r="F3" s="2">
        <v>2.5</v>
      </c>
    </row>
    <row r="4" ht="13.5" customHeight="1">
      <c r="A4" s="2">
        <v>2.0</v>
      </c>
      <c r="B4" s="2">
        <v>6.0</v>
      </c>
      <c r="C4" s="2">
        <v>6.0</v>
      </c>
      <c r="D4" s="2">
        <v>6.0</v>
      </c>
      <c r="E4" s="2">
        <v>6.0</v>
      </c>
      <c r="F4" s="3" t="s">
        <v>192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26</v>
      </c>
    </row>
    <row r="6" ht="13.5" customHeight="1">
      <c r="A6" s="2">
        <v>4.0</v>
      </c>
      <c r="B6" s="2">
        <v>10.0</v>
      </c>
      <c r="C6" s="2">
        <v>10.0</v>
      </c>
      <c r="D6" s="2">
        <v>10.0</v>
      </c>
      <c r="E6" s="2">
        <v>10.0</v>
      </c>
    </row>
    <row r="7" ht="13.5" customHeight="1">
      <c r="A7" s="2">
        <v>5.0</v>
      </c>
      <c r="B7" s="2">
        <v>10.0</v>
      </c>
      <c r="C7" s="2">
        <v>10.0</v>
      </c>
      <c r="D7" s="2">
        <v>10.0</v>
      </c>
      <c r="E7" s="2">
        <v>10.0</v>
      </c>
    </row>
    <row r="8" ht="13.5" customHeight="1">
      <c r="A8" s="2">
        <v>6.0</v>
      </c>
      <c r="B8" s="2">
        <v>10.0</v>
      </c>
      <c r="C8" s="3" t="s">
        <v>26</v>
      </c>
      <c r="D8" s="2">
        <v>10.0</v>
      </c>
      <c r="E8" s="2">
        <v>10.0</v>
      </c>
    </row>
    <row r="9" ht="13.5" customHeight="1">
      <c r="A9" s="2">
        <v>7.0</v>
      </c>
      <c r="B9" s="2">
        <v>10.0</v>
      </c>
      <c r="C9" s="2">
        <v>10.0</v>
      </c>
      <c r="D9" s="2">
        <v>10.0</v>
      </c>
      <c r="E9" s="2">
        <v>10.0</v>
      </c>
    </row>
    <row r="10" ht="13.5" customHeight="1">
      <c r="A10" s="2">
        <v>8.0</v>
      </c>
      <c r="B10" s="2">
        <v>10.0</v>
      </c>
      <c r="C10" s="2">
        <v>10.0</v>
      </c>
      <c r="D10" s="2">
        <v>10.0</v>
      </c>
      <c r="E10" s="2">
        <v>10.0</v>
      </c>
    </row>
    <row r="11" ht="13.5" customHeight="1">
      <c r="A11" s="2">
        <v>9.0</v>
      </c>
      <c r="B11" s="2">
        <v>6.0</v>
      </c>
      <c r="C11" s="2">
        <v>6.0</v>
      </c>
      <c r="D11" s="2">
        <v>6.0</v>
      </c>
      <c r="E11" s="2">
        <v>6.0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10.0</v>
      </c>
      <c r="E13" s="2">
        <v>10.0</v>
      </c>
    </row>
    <row r="14" ht="13.5" customHeight="1">
      <c r="A14" s="2">
        <v>12.0</v>
      </c>
      <c r="B14" s="2">
        <v>10.0</v>
      </c>
      <c r="C14" s="2">
        <v>10.0</v>
      </c>
      <c r="D14" s="2">
        <v>10.0</v>
      </c>
      <c r="E14" s="2">
        <v>10.0</v>
      </c>
    </row>
    <row r="15" ht="13.5" customHeight="1">
      <c r="A15" s="2">
        <v>13.0</v>
      </c>
      <c r="B15" s="2">
        <v>10.0</v>
      </c>
      <c r="C15" s="3" t="s">
        <v>20</v>
      </c>
      <c r="D15" s="2">
        <v>10.0</v>
      </c>
      <c r="E15" s="3" t="s">
        <v>26</v>
      </c>
    </row>
    <row r="16" ht="13.5" customHeight="1">
      <c r="A16" s="2">
        <v>14.0</v>
      </c>
      <c r="B16" s="2">
        <v>10.0</v>
      </c>
      <c r="C16" s="3" t="s">
        <v>26</v>
      </c>
      <c r="D16" s="2">
        <v>10.0</v>
      </c>
      <c r="E16" s="2">
        <v>10.0</v>
      </c>
    </row>
    <row r="17" ht="13.5" customHeight="1">
      <c r="A17" s="2">
        <v>15.0</v>
      </c>
      <c r="B17" s="2">
        <v>10.0</v>
      </c>
      <c r="C17" s="2">
        <v>9.0</v>
      </c>
      <c r="D17" s="2">
        <v>10.0</v>
      </c>
      <c r="E17" s="2">
        <v>10.0</v>
      </c>
    </row>
    <row r="18" ht="13.5" customHeight="1">
      <c r="A18" s="2">
        <v>16.0</v>
      </c>
      <c r="B18" s="2">
        <v>6.0</v>
      </c>
      <c r="C18" s="2">
        <v>6.0</v>
      </c>
      <c r="D18" s="2">
        <v>6.0</v>
      </c>
      <c r="E18" s="2">
        <v>6.0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</row>
    <row r="24" ht="13.5" customHeight="1">
      <c r="A24" s="2">
        <v>22.0</v>
      </c>
      <c r="B24" s="2">
        <v>10.0</v>
      </c>
      <c r="C24" s="2">
        <v>10.0</v>
      </c>
      <c r="D24" s="2">
        <v>10.0</v>
      </c>
      <c r="E24" s="2">
        <v>10.0</v>
      </c>
    </row>
    <row r="25" ht="13.5" customHeight="1">
      <c r="A25" s="2">
        <v>23.0</v>
      </c>
      <c r="B25" s="2">
        <v>6.0</v>
      </c>
      <c r="C25" s="2">
        <v>6.0</v>
      </c>
      <c r="E25" s="2">
        <v>6.0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10.0</v>
      </c>
    </row>
    <row r="28" ht="13.5" customHeight="1">
      <c r="A28" s="2">
        <v>26.0</v>
      </c>
      <c r="B28" s="2">
        <v>10.0</v>
      </c>
      <c r="C28" s="2">
        <v>10.0</v>
      </c>
      <c r="D28" s="2">
        <v>10.0</v>
      </c>
      <c r="E28" s="2">
        <v>10.0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3" t="s">
        <v>20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</row>
    <row r="32" ht="13.5" customHeight="1">
      <c r="A32" s="2">
        <v>30.0</v>
      </c>
      <c r="B32" s="2">
        <v>6.0</v>
      </c>
      <c r="C32" s="2">
        <v>6.0</v>
      </c>
      <c r="D32" s="2">
        <v>6.0</v>
      </c>
      <c r="E32" s="2">
        <v>6.0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240</v>
      </c>
      <c r="C34" s="2">
        <f t="shared" si="1"/>
        <v>209</v>
      </c>
      <c r="D34" s="2">
        <f t="shared" si="1"/>
        <v>224</v>
      </c>
      <c r="E34" s="2">
        <f t="shared" si="1"/>
        <v>220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" width="8.63"/>
    <col customWidth="1" min="3" max="3" width="10.25"/>
    <col customWidth="1" min="4" max="11" width="8.63"/>
    <col customWidth="1" min="12" max="12" width="17.5"/>
    <col customWidth="1" min="13" max="26" width="8.63"/>
  </cols>
  <sheetData>
    <row r="1" ht="13.5" customHeight="1">
      <c r="A1" s="3" t="s">
        <v>15</v>
      </c>
      <c r="B1" s="2" t="s">
        <v>193</v>
      </c>
      <c r="C1" s="11" t="s">
        <v>194</v>
      </c>
    </row>
    <row r="2" ht="13.5" customHeight="1">
      <c r="B2" s="2" t="s">
        <v>195</v>
      </c>
      <c r="C2" s="2" t="s">
        <v>196</v>
      </c>
    </row>
    <row r="3" ht="13.5" customHeight="1">
      <c r="A3" s="2">
        <v>1.0</v>
      </c>
      <c r="B3" s="12">
        <v>12.0</v>
      </c>
      <c r="C3" s="2">
        <v>10.0</v>
      </c>
    </row>
    <row r="4" ht="13.5" customHeight="1">
      <c r="A4" s="2">
        <v>2.0</v>
      </c>
      <c r="B4" s="12">
        <v>5.0</v>
      </c>
      <c r="C4" s="2">
        <v>7.0</v>
      </c>
    </row>
    <row r="5" ht="13.5" customHeight="1">
      <c r="A5" s="3" t="s">
        <v>4</v>
      </c>
      <c r="B5" s="13" t="s">
        <v>5</v>
      </c>
      <c r="C5" s="3" t="s">
        <v>5</v>
      </c>
    </row>
    <row r="6" ht="13.5" customHeight="1">
      <c r="A6" s="2">
        <v>4.0</v>
      </c>
      <c r="B6" s="12">
        <v>12.0</v>
      </c>
      <c r="C6" s="2">
        <v>10.0</v>
      </c>
    </row>
    <row r="7" ht="13.5" customHeight="1">
      <c r="A7" s="2">
        <v>5.0</v>
      </c>
      <c r="B7" s="12">
        <v>12.0</v>
      </c>
      <c r="C7" s="2">
        <v>10.0</v>
      </c>
    </row>
    <row r="8" ht="13.5" customHeight="1">
      <c r="A8" s="2">
        <v>6.0</v>
      </c>
      <c r="B8" s="12">
        <v>12.0</v>
      </c>
      <c r="C8" s="2">
        <v>10.0</v>
      </c>
    </row>
    <row r="9" ht="13.5" customHeight="1">
      <c r="A9" s="2">
        <v>7.0</v>
      </c>
      <c r="B9" s="12">
        <v>12.0</v>
      </c>
      <c r="C9" s="2">
        <v>10.0</v>
      </c>
    </row>
    <row r="10" ht="13.5" customHeight="1">
      <c r="A10" s="2">
        <v>8.0</v>
      </c>
      <c r="B10" s="12">
        <v>12.0</v>
      </c>
      <c r="C10" s="2">
        <v>10.0</v>
      </c>
    </row>
    <row r="11" ht="13.5" customHeight="1">
      <c r="A11" s="2">
        <v>9.0</v>
      </c>
      <c r="B11" s="12">
        <v>7.0</v>
      </c>
    </row>
    <row r="12" ht="13.5" customHeight="1">
      <c r="A12" s="3" t="s">
        <v>6</v>
      </c>
      <c r="B12" s="13" t="s">
        <v>5</v>
      </c>
      <c r="C12" s="3" t="s">
        <v>5</v>
      </c>
    </row>
    <row r="13" ht="13.5" customHeight="1">
      <c r="A13" s="2">
        <v>11.0</v>
      </c>
      <c r="B13" s="12">
        <v>12.0</v>
      </c>
      <c r="C13" s="2">
        <v>10.0</v>
      </c>
    </row>
    <row r="14" ht="13.5" customHeight="1">
      <c r="A14" s="2">
        <v>12.0</v>
      </c>
      <c r="B14" s="12">
        <v>12.0</v>
      </c>
      <c r="C14" s="2">
        <v>10.0</v>
      </c>
      <c r="L14" s="24" t="s">
        <v>197</v>
      </c>
    </row>
    <row r="15" ht="13.5" customHeight="1">
      <c r="A15" s="2">
        <v>13.0</v>
      </c>
      <c r="B15" s="12">
        <v>12.0</v>
      </c>
      <c r="C15" s="3" t="s">
        <v>26</v>
      </c>
    </row>
    <row r="16" ht="13.5" customHeight="1">
      <c r="A16" s="2">
        <v>14.0</v>
      </c>
      <c r="B16" s="12">
        <v>12.0</v>
      </c>
      <c r="C16" s="3" t="s">
        <v>20</v>
      </c>
    </row>
    <row r="17" ht="13.5" customHeight="1">
      <c r="A17" s="2">
        <v>15.0</v>
      </c>
      <c r="B17" s="12">
        <v>12.0</v>
      </c>
      <c r="C17" s="2">
        <v>10.0</v>
      </c>
    </row>
    <row r="18" ht="13.5" customHeight="1">
      <c r="A18" s="2">
        <v>16.0</v>
      </c>
      <c r="B18" s="12">
        <v>7.0</v>
      </c>
      <c r="C18" s="3" t="s">
        <v>26</v>
      </c>
    </row>
    <row r="19" ht="13.5" customHeight="1">
      <c r="A19" s="3" t="s">
        <v>7</v>
      </c>
      <c r="B19" s="13" t="s">
        <v>5</v>
      </c>
      <c r="C19" s="3" t="s">
        <v>5</v>
      </c>
    </row>
    <row r="20" ht="13.5" customHeight="1">
      <c r="A20" s="2">
        <v>18.0</v>
      </c>
      <c r="B20" s="12">
        <v>12.0</v>
      </c>
      <c r="C20" s="2">
        <v>10.0</v>
      </c>
    </row>
    <row r="21" ht="13.5" customHeight="1">
      <c r="A21" s="2">
        <v>19.0</v>
      </c>
      <c r="B21" s="12">
        <v>12.0</v>
      </c>
      <c r="C21" s="2">
        <v>10.0</v>
      </c>
    </row>
    <row r="22" ht="13.5" customHeight="1">
      <c r="A22" s="2">
        <v>20.0</v>
      </c>
      <c r="B22" s="12">
        <v>12.0</v>
      </c>
      <c r="C22" s="2">
        <v>10.0</v>
      </c>
    </row>
    <row r="23" ht="13.5" customHeight="1">
      <c r="A23" s="2">
        <v>21.0</v>
      </c>
      <c r="B23" s="12">
        <v>12.0</v>
      </c>
      <c r="C23" s="2">
        <v>10.0</v>
      </c>
    </row>
    <row r="24" ht="13.5" customHeight="1">
      <c r="A24" s="2">
        <v>22.0</v>
      </c>
      <c r="B24" s="12">
        <v>12.0</v>
      </c>
      <c r="C24" s="2">
        <v>10.0</v>
      </c>
    </row>
    <row r="25" ht="13.5" customHeight="1">
      <c r="A25" s="2">
        <v>23.0</v>
      </c>
      <c r="B25" s="12"/>
    </row>
    <row r="26" ht="13.5" customHeight="1">
      <c r="A26" s="3" t="s">
        <v>8</v>
      </c>
      <c r="B26" s="13" t="s">
        <v>5</v>
      </c>
      <c r="C26" s="3" t="s">
        <v>5</v>
      </c>
    </row>
    <row r="27" ht="13.5" customHeight="1">
      <c r="A27" s="2">
        <v>25.0</v>
      </c>
      <c r="B27" s="12"/>
    </row>
    <row r="28" ht="13.5" customHeight="1">
      <c r="A28" s="2">
        <v>26.0</v>
      </c>
      <c r="B28" s="12"/>
    </row>
    <row r="29" ht="13.5" customHeight="1">
      <c r="A29" s="2">
        <v>27.0</v>
      </c>
      <c r="B29" s="12"/>
      <c r="C29" s="2">
        <v>10.0</v>
      </c>
    </row>
    <row r="30" ht="13.5" customHeight="1">
      <c r="A30" s="2">
        <v>28.0</v>
      </c>
      <c r="B30" s="2">
        <v>10.0</v>
      </c>
      <c r="C30" s="2">
        <v>10.0</v>
      </c>
    </row>
    <row r="31" ht="13.5" customHeight="1">
      <c r="A31" s="2">
        <v>29.0</v>
      </c>
      <c r="B31" s="2">
        <v>10.0</v>
      </c>
    </row>
    <row r="32" ht="13.5" customHeight="1">
      <c r="A32" s="2">
        <v>30.0</v>
      </c>
      <c r="B32" s="2">
        <v>7.0</v>
      </c>
    </row>
    <row r="33" ht="13.5" customHeight="1">
      <c r="A33" s="3" t="s">
        <v>9</v>
      </c>
      <c r="B33" s="3" t="s">
        <v>5</v>
      </c>
      <c r="C33" s="3" t="s">
        <v>5</v>
      </c>
    </row>
    <row r="34" ht="13.5" customHeight="1">
      <c r="A34" s="3" t="s">
        <v>11</v>
      </c>
      <c r="B34" s="2">
        <f>SUM(B30:B33)</f>
        <v>27</v>
      </c>
      <c r="C34" s="2">
        <f>SUM(C3:C33)</f>
        <v>167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0.25"/>
    <col customWidth="1" min="3" max="26" width="8.63"/>
  </cols>
  <sheetData>
    <row r="1" ht="13.5" customHeight="1">
      <c r="A1" s="3" t="s">
        <v>15</v>
      </c>
      <c r="B1" s="23" t="s">
        <v>198</v>
      </c>
      <c r="C1" s="2" t="s">
        <v>39</v>
      </c>
      <c r="D1" s="2" t="s">
        <v>199</v>
      </c>
      <c r="E1" s="23" t="s">
        <v>194</v>
      </c>
      <c r="F1" s="2" t="s">
        <v>200</v>
      </c>
      <c r="G1" s="23" t="s">
        <v>201</v>
      </c>
      <c r="H1" s="23" t="s">
        <v>202</v>
      </c>
      <c r="I1" s="2" t="s">
        <v>203</v>
      </c>
      <c r="J1" s="2" t="s">
        <v>204</v>
      </c>
    </row>
    <row r="2" ht="13.5" customHeight="1">
      <c r="B2" s="2" t="s">
        <v>205</v>
      </c>
      <c r="C2" s="2" t="s">
        <v>45</v>
      </c>
      <c r="D2" s="2" t="s">
        <v>105</v>
      </c>
      <c r="E2" s="2" t="s">
        <v>196</v>
      </c>
      <c r="F2" s="2" t="s">
        <v>206</v>
      </c>
      <c r="G2" s="2" t="s">
        <v>207</v>
      </c>
      <c r="H2" s="2" t="s">
        <v>108</v>
      </c>
      <c r="I2" s="2" t="s">
        <v>208</v>
      </c>
      <c r="J2" s="2" t="s">
        <v>209</v>
      </c>
    </row>
    <row r="3" ht="13.5" customHeight="1">
      <c r="A3" s="2">
        <v>1.0</v>
      </c>
      <c r="B3" s="2">
        <v>12.0</v>
      </c>
      <c r="C3" s="2">
        <v>10.0</v>
      </c>
      <c r="E3" s="2">
        <v>10.0</v>
      </c>
      <c r="G3" s="2">
        <v>10.0</v>
      </c>
      <c r="H3" s="2">
        <v>10.0</v>
      </c>
    </row>
    <row r="4" ht="13.5" customHeight="1">
      <c r="A4" s="2">
        <v>2.0</v>
      </c>
      <c r="B4" s="2">
        <v>7.0</v>
      </c>
      <c r="C4" s="2">
        <v>7.0</v>
      </c>
      <c r="E4" s="2">
        <v>7.0</v>
      </c>
      <c r="G4" s="2">
        <v>7.0</v>
      </c>
      <c r="H4" s="2">
        <v>7.0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G5" s="3" t="s">
        <v>5</v>
      </c>
      <c r="H5" s="3" t="s">
        <v>5</v>
      </c>
    </row>
    <row r="6" ht="13.5" customHeight="1">
      <c r="A6" s="2">
        <v>4.0</v>
      </c>
      <c r="B6" s="2">
        <v>12.0</v>
      </c>
      <c r="C6" s="2">
        <v>10.0</v>
      </c>
      <c r="E6" s="2">
        <v>10.0</v>
      </c>
      <c r="G6" s="2">
        <v>10.0</v>
      </c>
      <c r="H6" s="2">
        <v>10.0</v>
      </c>
    </row>
    <row r="7" ht="13.5" customHeight="1">
      <c r="A7" s="2">
        <v>5.0</v>
      </c>
      <c r="B7" s="2">
        <v>12.0</v>
      </c>
      <c r="C7" s="2">
        <v>10.0</v>
      </c>
      <c r="E7" s="2">
        <v>10.0</v>
      </c>
      <c r="G7" s="2">
        <v>10.0</v>
      </c>
      <c r="H7" s="2">
        <v>10.0</v>
      </c>
    </row>
    <row r="8" ht="13.5" customHeight="1">
      <c r="A8" s="2">
        <v>6.0</v>
      </c>
      <c r="B8" s="2">
        <v>12.0</v>
      </c>
      <c r="C8" s="2">
        <v>10.0</v>
      </c>
      <c r="E8" s="2">
        <v>10.0</v>
      </c>
      <c r="G8" s="2">
        <v>10.0</v>
      </c>
      <c r="H8" s="2">
        <v>10.0</v>
      </c>
      <c r="I8" s="2">
        <v>10.0</v>
      </c>
      <c r="J8" s="2">
        <v>10.0</v>
      </c>
    </row>
    <row r="9" ht="13.5" customHeight="1">
      <c r="A9" s="2">
        <v>7.0</v>
      </c>
      <c r="B9" s="2">
        <v>12.0</v>
      </c>
      <c r="C9" s="2">
        <v>10.0</v>
      </c>
      <c r="E9" s="2">
        <v>10.0</v>
      </c>
      <c r="G9" s="2">
        <v>10.0</v>
      </c>
      <c r="H9" s="2">
        <v>10.0</v>
      </c>
      <c r="I9" s="2">
        <v>10.0</v>
      </c>
      <c r="J9" s="2">
        <v>10.0</v>
      </c>
    </row>
    <row r="10" ht="13.5" customHeight="1">
      <c r="A10" s="2">
        <v>8.0</v>
      </c>
      <c r="B10" s="2">
        <v>12.0</v>
      </c>
      <c r="C10" s="2">
        <v>10.0</v>
      </c>
      <c r="E10" s="2">
        <v>10.0</v>
      </c>
      <c r="G10" s="2">
        <v>10.0</v>
      </c>
      <c r="H10" s="2">
        <v>10.0</v>
      </c>
      <c r="I10" s="2">
        <v>10.0</v>
      </c>
      <c r="J10" s="2">
        <v>10.0</v>
      </c>
    </row>
    <row r="11" ht="13.5" customHeight="1">
      <c r="A11" s="2">
        <v>9.0</v>
      </c>
      <c r="B11" s="2">
        <v>7.0</v>
      </c>
      <c r="G11" s="2">
        <v>7.0</v>
      </c>
      <c r="H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G12" s="3" t="s">
        <v>5</v>
      </c>
      <c r="H12" s="3" t="s">
        <v>5</v>
      </c>
    </row>
    <row r="13" ht="13.5" customHeight="1">
      <c r="A13" s="2">
        <v>11.0</v>
      </c>
      <c r="B13" s="2">
        <v>12.0</v>
      </c>
      <c r="C13" s="2">
        <v>10.0</v>
      </c>
      <c r="E13" s="2">
        <v>10.0</v>
      </c>
      <c r="G13" s="2">
        <v>10.0</v>
      </c>
      <c r="H13" s="2">
        <v>10.0</v>
      </c>
    </row>
    <row r="14" ht="13.5" customHeight="1">
      <c r="A14" s="2">
        <v>12.0</v>
      </c>
      <c r="B14" s="2">
        <v>9.0</v>
      </c>
      <c r="E14" s="2">
        <v>10.0</v>
      </c>
      <c r="G14" s="2">
        <v>10.0</v>
      </c>
      <c r="H14" s="2">
        <v>10.0</v>
      </c>
    </row>
    <row r="15" ht="13.5" customHeight="1">
      <c r="A15" s="2">
        <v>13.0</v>
      </c>
      <c r="B15" s="2">
        <v>11.0</v>
      </c>
      <c r="E15" s="3" t="s">
        <v>26</v>
      </c>
      <c r="G15" s="2">
        <v>10.0</v>
      </c>
      <c r="H15" s="2">
        <v>10.0</v>
      </c>
    </row>
    <row r="16" ht="13.5" customHeight="1">
      <c r="A16" s="2">
        <v>14.0</v>
      </c>
      <c r="B16" s="2">
        <v>12.0</v>
      </c>
      <c r="E16" s="3" t="s">
        <v>20</v>
      </c>
      <c r="G16" s="2">
        <v>10.0</v>
      </c>
      <c r="H16" s="2">
        <v>10.0</v>
      </c>
    </row>
    <row r="17" ht="13.5" customHeight="1">
      <c r="A17" s="2">
        <v>15.0</v>
      </c>
      <c r="B17" s="2">
        <v>12.0</v>
      </c>
      <c r="C17" s="2">
        <v>10.0</v>
      </c>
      <c r="D17" s="2">
        <v>10.0</v>
      </c>
      <c r="E17" s="2">
        <v>10.0</v>
      </c>
      <c r="F17" s="2">
        <v>10.0</v>
      </c>
      <c r="G17" s="2">
        <v>10.0</v>
      </c>
      <c r="H17" s="2">
        <v>10.0</v>
      </c>
    </row>
    <row r="18" ht="13.5" customHeight="1">
      <c r="A18" s="2">
        <v>16.0</v>
      </c>
      <c r="B18" s="2">
        <v>6.0</v>
      </c>
      <c r="E18" s="3" t="s">
        <v>26</v>
      </c>
      <c r="G18" s="2">
        <v>7.0</v>
      </c>
      <c r="H18" s="2">
        <v>7.0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</row>
    <row r="20" ht="13.5" customHeight="1">
      <c r="A20" s="2">
        <v>18.0</v>
      </c>
      <c r="B20" s="2">
        <v>12.0</v>
      </c>
      <c r="C20" s="2">
        <v>10.0</v>
      </c>
      <c r="D20" s="2">
        <v>10.0</v>
      </c>
      <c r="E20" s="2">
        <v>10.0</v>
      </c>
      <c r="F20" s="2">
        <v>10.0</v>
      </c>
      <c r="G20" s="2">
        <v>10.0</v>
      </c>
      <c r="H20" s="2">
        <v>10.0</v>
      </c>
    </row>
    <row r="21" ht="13.5" customHeight="1">
      <c r="A21" s="2">
        <v>19.0</v>
      </c>
      <c r="B21" s="2">
        <v>12.0</v>
      </c>
      <c r="C21" s="2">
        <v>10.0</v>
      </c>
      <c r="D21" s="2">
        <v>10.0</v>
      </c>
      <c r="E21" s="2">
        <v>10.0</v>
      </c>
      <c r="F21" s="2">
        <v>10.0</v>
      </c>
      <c r="G21" s="2">
        <v>10.0</v>
      </c>
      <c r="H21" s="2">
        <v>10.0</v>
      </c>
    </row>
    <row r="22" ht="13.5" customHeight="1">
      <c r="A22" s="2">
        <v>20.0</v>
      </c>
      <c r="B22" s="2">
        <v>12.0</v>
      </c>
      <c r="C22" s="2">
        <v>10.0</v>
      </c>
      <c r="D22" s="2">
        <v>10.0</v>
      </c>
      <c r="E22" s="2">
        <v>10.0</v>
      </c>
      <c r="F22" s="2">
        <v>10.0</v>
      </c>
      <c r="G22" s="2">
        <v>10.0</v>
      </c>
      <c r="H22" s="2">
        <v>10.0</v>
      </c>
    </row>
    <row r="23" ht="13.5" customHeight="1">
      <c r="A23" s="2">
        <v>21.0</v>
      </c>
      <c r="B23" s="2">
        <v>12.0</v>
      </c>
      <c r="C23" s="2">
        <v>10.0</v>
      </c>
      <c r="D23" s="2">
        <v>10.0</v>
      </c>
      <c r="E23" s="2">
        <v>10.0</v>
      </c>
      <c r="F23" s="2">
        <v>10.0</v>
      </c>
      <c r="G23" s="2">
        <v>10.0</v>
      </c>
      <c r="H23" s="2">
        <v>10.0</v>
      </c>
    </row>
    <row r="24" ht="13.5" customHeight="1">
      <c r="A24" s="2">
        <v>22.0</v>
      </c>
      <c r="B24" s="2">
        <v>12.0</v>
      </c>
      <c r="C24" s="2">
        <v>10.0</v>
      </c>
      <c r="D24" s="2">
        <v>10.0</v>
      </c>
      <c r="E24" s="2">
        <v>10.0</v>
      </c>
      <c r="F24" s="2">
        <v>10.0</v>
      </c>
      <c r="G24" s="2">
        <v>10.0</v>
      </c>
      <c r="H24" s="2">
        <v>10.0</v>
      </c>
    </row>
    <row r="25" ht="13.5" customHeight="1">
      <c r="A25" s="2">
        <v>23.0</v>
      </c>
      <c r="B25" s="2">
        <v>7.0</v>
      </c>
      <c r="G25" s="2">
        <v>7.0</v>
      </c>
      <c r="H25" s="2">
        <v>7.0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</row>
    <row r="27" ht="13.5" customHeight="1">
      <c r="A27" s="2">
        <v>25.0</v>
      </c>
      <c r="B27" s="2">
        <v>12.0</v>
      </c>
      <c r="C27" s="13" t="s">
        <v>210</v>
      </c>
      <c r="E27" s="13" t="s">
        <v>211</v>
      </c>
      <c r="G27" s="2">
        <v>10.0</v>
      </c>
      <c r="H27" s="2">
        <v>10.0</v>
      </c>
    </row>
    <row r="28" ht="13.5" customHeight="1">
      <c r="A28" s="2">
        <v>26.0</v>
      </c>
      <c r="B28" s="2">
        <v>12.0</v>
      </c>
      <c r="C28" s="13" t="s">
        <v>212</v>
      </c>
      <c r="E28" s="12"/>
      <c r="G28" s="2">
        <v>10.0</v>
      </c>
      <c r="H28" s="2">
        <v>10.0</v>
      </c>
    </row>
    <row r="29" ht="13.5" customHeight="1">
      <c r="A29" s="2">
        <v>27.0</v>
      </c>
      <c r="B29" s="2">
        <v>12.0</v>
      </c>
      <c r="C29" s="12"/>
      <c r="E29" s="12"/>
      <c r="G29" s="2">
        <v>10.0</v>
      </c>
      <c r="H29" s="2">
        <v>10.0</v>
      </c>
    </row>
    <row r="30" ht="13.5" customHeight="1">
      <c r="A30" s="2">
        <v>28.0</v>
      </c>
      <c r="B30" s="2">
        <v>12.0</v>
      </c>
      <c r="C30" s="12"/>
      <c r="E30" s="12"/>
      <c r="G30" s="2">
        <v>10.0</v>
      </c>
      <c r="H30" s="2">
        <v>10.0</v>
      </c>
    </row>
    <row r="31" ht="13.5" customHeight="1">
      <c r="A31" s="2">
        <v>29.0</v>
      </c>
      <c r="B31" s="2">
        <v>12.0</v>
      </c>
      <c r="C31" s="12"/>
      <c r="E31" s="12"/>
      <c r="G31" s="2">
        <v>10.0</v>
      </c>
      <c r="H31" s="2">
        <v>10.0</v>
      </c>
    </row>
    <row r="32" ht="13.5" customHeight="1">
      <c r="A32" s="2">
        <v>30.0</v>
      </c>
      <c r="B32" s="2">
        <v>7.0</v>
      </c>
      <c r="C32" s="12"/>
      <c r="E32" s="12"/>
      <c r="G32" s="2">
        <v>7.0</v>
      </c>
      <c r="H32" s="3" t="s">
        <v>26</v>
      </c>
    </row>
    <row r="33" ht="13.5" customHeight="1">
      <c r="A33" s="3" t="s">
        <v>9</v>
      </c>
      <c r="B33" s="3" t="s">
        <v>5</v>
      </c>
      <c r="C33" s="13" t="s">
        <v>5</v>
      </c>
      <c r="D33" s="3" t="s">
        <v>5</v>
      </c>
      <c r="E33" s="13" t="s">
        <v>5</v>
      </c>
      <c r="F33" s="3" t="s">
        <v>5</v>
      </c>
      <c r="G33" s="3" t="s">
        <v>5</v>
      </c>
      <c r="H33" s="3" t="s">
        <v>5</v>
      </c>
    </row>
    <row r="34" ht="13.5" customHeight="1">
      <c r="A34" s="3" t="s">
        <v>11</v>
      </c>
      <c r="B34" s="2">
        <f t="shared" ref="B34:J34" si="1">SUM(B3:B33)</f>
        <v>282</v>
      </c>
      <c r="C34" s="2">
        <f t="shared" si="1"/>
        <v>137</v>
      </c>
      <c r="D34" s="2">
        <f t="shared" si="1"/>
        <v>60</v>
      </c>
      <c r="E34" s="2">
        <f t="shared" si="1"/>
        <v>147</v>
      </c>
      <c r="F34" s="2">
        <f t="shared" si="1"/>
        <v>60</v>
      </c>
      <c r="G34" s="2">
        <f t="shared" si="1"/>
        <v>245</v>
      </c>
      <c r="H34" s="2">
        <f t="shared" si="1"/>
        <v>238</v>
      </c>
      <c r="I34" s="2">
        <f t="shared" si="1"/>
        <v>30</v>
      </c>
      <c r="J34" s="2">
        <f t="shared" si="1"/>
        <v>30</v>
      </c>
    </row>
    <row r="35" ht="13.5" customHeight="1"/>
    <row r="36" ht="13.5" customHeight="1">
      <c r="A36" s="3" t="s">
        <v>137</v>
      </c>
      <c r="B36" s="2">
        <f>282-252</f>
        <v>30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" width="8.63"/>
    <col customWidth="1" min="3" max="3" width="10.25"/>
    <col customWidth="1" min="4" max="4" width="8.63"/>
    <col customWidth="1" min="5" max="5" width="10.25"/>
    <col customWidth="1" min="6" max="10" width="8.63"/>
    <col customWidth="1" min="11" max="11" width="10.25"/>
    <col customWidth="1" min="12" max="12" width="8.63"/>
    <col customWidth="1" min="13" max="13" width="10.25"/>
    <col customWidth="1" min="14" max="26" width="8.63"/>
  </cols>
  <sheetData>
    <row r="1" ht="13.5" customHeight="1">
      <c r="A1" s="3" t="s">
        <v>15</v>
      </c>
      <c r="B1" s="2" t="s">
        <v>213</v>
      </c>
      <c r="C1" s="2" t="s">
        <v>214</v>
      </c>
      <c r="D1" s="2" t="s">
        <v>215</v>
      </c>
      <c r="E1" s="25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</row>
    <row r="2" ht="13.5" customHeight="1">
      <c r="B2" s="2" t="s">
        <v>226</v>
      </c>
      <c r="C2" s="2" t="s">
        <v>227</v>
      </c>
      <c r="D2" s="2" t="s">
        <v>32</v>
      </c>
      <c r="E2" s="2" t="s">
        <v>228</v>
      </c>
      <c r="F2" s="2" t="s">
        <v>229</v>
      </c>
      <c r="G2" s="2" t="s">
        <v>230</v>
      </c>
      <c r="H2" s="2" t="s">
        <v>231</v>
      </c>
      <c r="I2" s="2" t="s">
        <v>100</v>
      </c>
      <c r="J2" s="2" t="s">
        <v>232</v>
      </c>
      <c r="K2" s="2" t="s">
        <v>227</v>
      </c>
      <c r="L2" s="2" t="s">
        <v>19</v>
      </c>
      <c r="M2" s="2" t="s">
        <v>233</v>
      </c>
      <c r="N2" s="2" t="s">
        <v>74</v>
      </c>
    </row>
    <row r="3" ht="13.5" customHeight="1">
      <c r="A3" s="2">
        <v>1.0</v>
      </c>
      <c r="B3" s="2">
        <v>11.0</v>
      </c>
      <c r="C3" s="2">
        <v>11.0</v>
      </c>
      <c r="D3" s="2">
        <v>11.0</v>
      </c>
      <c r="E3" s="2">
        <v>11.5</v>
      </c>
      <c r="F3" s="2">
        <v>11.0</v>
      </c>
      <c r="G3" s="2">
        <v>10.5</v>
      </c>
      <c r="H3" s="2">
        <v>11.5</v>
      </c>
      <c r="I3" s="2">
        <v>11.5</v>
      </c>
      <c r="J3" s="2">
        <v>11.5</v>
      </c>
      <c r="K3" s="3" t="s">
        <v>26</v>
      </c>
      <c r="L3" s="2">
        <v>11.0</v>
      </c>
      <c r="M3" s="2">
        <v>11.0</v>
      </c>
      <c r="N3" s="2">
        <v>10.5</v>
      </c>
    </row>
    <row r="4" ht="13.5" customHeight="1">
      <c r="A4" s="2">
        <v>2.0</v>
      </c>
      <c r="C4" s="3" t="s">
        <v>26</v>
      </c>
      <c r="D4" s="3" t="s">
        <v>26</v>
      </c>
      <c r="F4" s="3" t="s">
        <v>26</v>
      </c>
      <c r="G4" s="3" t="s">
        <v>26</v>
      </c>
      <c r="H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</row>
    <row r="6" ht="13.5" customHeight="1">
      <c r="A6" s="2">
        <v>4.0</v>
      </c>
      <c r="B6" s="2">
        <v>11.0</v>
      </c>
      <c r="C6" s="2">
        <v>11.0</v>
      </c>
      <c r="D6" s="2">
        <v>11.0</v>
      </c>
      <c r="E6" s="2">
        <v>11.5</v>
      </c>
      <c r="F6" s="2">
        <v>11.0</v>
      </c>
      <c r="G6" s="3" t="s">
        <v>20</v>
      </c>
      <c r="H6" s="2">
        <v>11.5</v>
      </c>
      <c r="I6" s="2">
        <v>11.5</v>
      </c>
      <c r="J6" s="2">
        <v>11.5</v>
      </c>
      <c r="K6" s="2">
        <v>11.5</v>
      </c>
      <c r="L6" s="2">
        <v>11.0</v>
      </c>
      <c r="M6" s="2">
        <v>11.0</v>
      </c>
      <c r="N6" s="2">
        <v>10.5</v>
      </c>
    </row>
    <row r="7" ht="13.5" customHeight="1">
      <c r="A7" s="2">
        <v>5.0</v>
      </c>
      <c r="B7" s="2">
        <v>11.0</v>
      </c>
      <c r="C7" s="2">
        <v>11.0</v>
      </c>
      <c r="D7" s="2">
        <v>11.0</v>
      </c>
      <c r="E7" s="2">
        <v>11.5</v>
      </c>
      <c r="F7" s="2">
        <v>11.0</v>
      </c>
      <c r="G7" s="2">
        <v>10.5</v>
      </c>
      <c r="H7" s="2">
        <v>11.5</v>
      </c>
      <c r="I7" s="2">
        <v>11.5</v>
      </c>
      <c r="J7" s="2">
        <v>11.5</v>
      </c>
      <c r="K7" s="2">
        <v>11.5</v>
      </c>
      <c r="L7" s="2">
        <v>11.0</v>
      </c>
      <c r="M7" s="2">
        <v>11.0</v>
      </c>
      <c r="N7" s="2">
        <v>10.5</v>
      </c>
    </row>
    <row r="8" ht="13.5" customHeight="1">
      <c r="A8" s="2">
        <v>6.0</v>
      </c>
      <c r="B8" s="2">
        <v>11.0</v>
      </c>
      <c r="C8" s="2">
        <v>11.0</v>
      </c>
      <c r="D8" s="2">
        <v>11.0</v>
      </c>
      <c r="E8" s="2">
        <v>11.5</v>
      </c>
      <c r="F8" s="2">
        <v>11.0</v>
      </c>
      <c r="G8" s="2">
        <v>10.5</v>
      </c>
      <c r="H8" s="2">
        <v>11.5</v>
      </c>
      <c r="I8" s="2">
        <v>11.5</v>
      </c>
      <c r="J8" s="2">
        <v>11.5</v>
      </c>
      <c r="K8" s="2">
        <v>11.5</v>
      </c>
      <c r="L8" s="2">
        <v>11.0</v>
      </c>
      <c r="M8" s="2">
        <v>11.0</v>
      </c>
      <c r="N8" s="3" t="s">
        <v>26</v>
      </c>
    </row>
    <row r="9" ht="13.5" customHeight="1">
      <c r="A9" s="2">
        <v>7.0</v>
      </c>
      <c r="B9" s="2">
        <v>11.0</v>
      </c>
      <c r="C9" s="2">
        <v>11.0</v>
      </c>
      <c r="D9" s="2">
        <v>11.0</v>
      </c>
      <c r="E9" s="2">
        <v>11.5</v>
      </c>
      <c r="F9" s="2">
        <v>11.0</v>
      </c>
      <c r="G9" s="2">
        <v>10.5</v>
      </c>
      <c r="H9" s="2">
        <v>11.5</v>
      </c>
      <c r="I9" s="2">
        <v>11.5</v>
      </c>
      <c r="J9" s="2">
        <v>11.5</v>
      </c>
      <c r="K9" s="2">
        <v>11.5</v>
      </c>
      <c r="L9" s="2">
        <v>11.0</v>
      </c>
      <c r="M9" s="2">
        <v>11.0</v>
      </c>
      <c r="N9" s="2">
        <v>10.5</v>
      </c>
    </row>
    <row r="10" ht="13.5" customHeight="1">
      <c r="A10" s="2">
        <v>8.0</v>
      </c>
      <c r="B10" s="2">
        <v>11.0</v>
      </c>
      <c r="C10" s="2">
        <v>11.0</v>
      </c>
      <c r="D10" s="2">
        <v>11.0</v>
      </c>
      <c r="E10" s="2">
        <v>11.5</v>
      </c>
      <c r="F10" s="2">
        <v>11.0</v>
      </c>
      <c r="G10" s="2">
        <v>10.5</v>
      </c>
      <c r="H10" s="3" t="s">
        <v>20</v>
      </c>
      <c r="I10" s="2">
        <v>11.5</v>
      </c>
      <c r="J10" s="2">
        <v>11.5</v>
      </c>
      <c r="K10" s="2">
        <v>11.5</v>
      </c>
      <c r="L10" s="2">
        <v>11.0</v>
      </c>
      <c r="M10" s="2">
        <v>11.0</v>
      </c>
      <c r="N10" s="2">
        <v>10.5</v>
      </c>
    </row>
    <row r="11" ht="13.5" customHeight="1">
      <c r="A11" s="2">
        <v>9.0</v>
      </c>
      <c r="L11" s="3" t="s">
        <v>26</v>
      </c>
      <c r="N11" s="3" t="s">
        <v>26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ht="13.5" customHeight="1">
      <c r="A13" s="2">
        <v>11.0</v>
      </c>
      <c r="B13" s="2">
        <v>11.0</v>
      </c>
      <c r="C13" s="2">
        <v>11.0</v>
      </c>
      <c r="D13" s="2">
        <v>11.0</v>
      </c>
      <c r="F13" s="2">
        <v>11.0</v>
      </c>
      <c r="G13" s="2">
        <v>10.5</v>
      </c>
      <c r="H13" s="2">
        <v>11.5</v>
      </c>
      <c r="I13" s="2">
        <v>11.5</v>
      </c>
      <c r="K13" s="2">
        <v>11.5</v>
      </c>
      <c r="L13" s="2">
        <v>11.0</v>
      </c>
      <c r="M13" s="3" t="s">
        <v>26</v>
      </c>
      <c r="N13" s="2">
        <v>10.5</v>
      </c>
    </row>
    <row r="14" ht="13.5" customHeight="1">
      <c r="A14" s="2">
        <v>12.0</v>
      </c>
      <c r="C14" s="2">
        <v>11.0</v>
      </c>
      <c r="D14" s="2">
        <v>11.0</v>
      </c>
      <c r="E14" s="3" t="s">
        <v>111</v>
      </c>
      <c r="F14" s="2">
        <v>11.0</v>
      </c>
      <c r="G14" s="2">
        <v>11.0</v>
      </c>
      <c r="H14" s="2">
        <v>11.5</v>
      </c>
      <c r="I14" s="2">
        <v>11.5</v>
      </c>
      <c r="J14" s="3" t="s">
        <v>111</v>
      </c>
      <c r="K14" s="2">
        <v>11.5</v>
      </c>
      <c r="L14" s="2">
        <v>11.0</v>
      </c>
      <c r="M14" s="2">
        <v>5.5</v>
      </c>
      <c r="N14" s="3" t="s">
        <v>26</v>
      </c>
    </row>
    <row r="15" ht="13.5" customHeight="1">
      <c r="A15" s="2">
        <v>13.0</v>
      </c>
      <c r="C15" s="2">
        <v>11.0</v>
      </c>
      <c r="D15" s="2">
        <v>11.0</v>
      </c>
      <c r="E15" s="3" t="s">
        <v>111</v>
      </c>
      <c r="F15" s="2">
        <v>11.0</v>
      </c>
      <c r="G15" s="2">
        <v>11.0</v>
      </c>
      <c r="H15" s="2">
        <v>11.5</v>
      </c>
      <c r="I15" s="2">
        <v>11.5</v>
      </c>
      <c r="J15" s="3" t="s">
        <v>111</v>
      </c>
      <c r="K15" s="2">
        <v>11.5</v>
      </c>
      <c r="L15" s="2">
        <v>11.0</v>
      </c>
      <c r="M15" s="3" t="s">
        <v>20</v>
      </c>
      <c r="N15" s="2">
        <v>11.0</v>
      </c>
    </row>
    <row r="16" ht="13.5" customHeight="1">
      <c r="A16" s="2">
        <v>14.0</v>
      </c>
      <c r="C16" s="2">
        <v>11.0</v>
      </c>
      <c r="D16" s="2">
        <v>11.0</v>
      </c>
      <c r="E16" s="3" t="s">
        <v>111</v>
      </c>
      <c r="F16" s="2">
        <v>11.0</v>
      </c>
      <c r="G16" s="2">
        <v>11.0</v>
      </c>
      <c r="H16" s="2">
        <v>11.5</v>
      </c>
      <c r="I16" s="2">
        <v>11.5</v>
      </c>
      <c r="J16" s="3" t="s">
        <v>111</v>
      </c>
      <c r="K16" s="2">
        <v>11.0</v>
      </c>
      <c r="M16" s="2">
        <v>11.0</v>
      </c>
      <c r="N16" s="2">
        <v>11.0</v>
      </c>
    </row>
    <row r="17" ht="13.5" customHeight="1">
      <c r="A17" s="2">
        <v>15.0</v>
      </c>
      <c r="C17" s="2">
        <v>11.0</v>
      </c>
      <c r="D17" s="2">
        <v>11.0</v>
      </c>
      <c r="E17" s="3" t="s">
        <v>111</v>
      </c>
      <c r="F17" s="3" t="s">
        <v>20</v>
      </c>
      <c r="G17" s="2">
        <v>11.0</v>
      </c>
      <c r="H17" s="2">
        <v>11.0</v>
      </c>
      <c r="I17" s="2">
        <v>11.0</v>
      </c>
      <c r="J17" s="3" t="s">
        <v>111</v>
      </c>
      <c r="K17" s="2">
        <v>11.0</v>
      </c>
      <c r="L17" s="2">
        <v>11.0</v>
      </c>
      <c r="M17" s="2">
        <v>11.0</v>
      </c>
      <c r="N17" s="2">
        <v>11.0</v>
      </c>
    </row>
    <row r="18" ht="13.5" customHeight="1">
      <c r="A18" s="2">
        <v>16.0</v>
      </c>
      <c r="E18" s="3" t="s">
        <v>111</v>
      </c>
      <c r="J18" s="3" t="s">
        <v>111</v>
      </c>
      <c r="M18" s="3" t="s">
        <v>26</v>
      </c>
      <c r="N18" s="3" t="s">
        <v>26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</row>
    <row r="20" ht="13.5" customHeight="1">
      <c r="A20" s="2">
        <v>18.0</v>
      </c>
      <c r="B20" s="2">
        <v>11.0</v>
      </c>
      <c r="C20" s="2">
        <v>10.0</v>
      </c>
      <c r="D20" s="2">
        <v>11.0</v>
      </c>
      <c r="E20" s="3" t="s">
        <v>111</v>
      </c>
      <c r="F20" s="2">
        <v>11.0</v>
      </c>
      <c r="G20" s="2">
        <v>11.0</v>
      </c>
      <c r="H20" s="2">
        <v>10.5</v>
      </c>
      <c r="I20" s="2">
        <v>11.0</v>
      </c>
      <c r="J20" s="3" t="s">
        <v>111</v>
      </c>
      <c r="K20" s="3" t="s">
        <v>26</v>
      </c>
      <c r="L20" s="2">
        <v>11.0</v>
      </c>
      <c r="M20" s="2">
        <v>10.5</v>
      </c>
      <c r="N20" s="2">
        <v>11.0</v>
      </c>
    </row>
    <row r="21" ht="13.5" customHeight="1">
      <c r="A21" s="2">
        <v>19.0</v>
      </c>
      <c r="B21" s="2">
        <v>11.0</v>
      </c>
      <c r="C21" s="2">
        <v>11.0</v>
      </c>
      <c r="D21" s="2">
        <v>11.0</v>
      </c>
      <c r="E21" s="3" t="s">
        <v>111</v>
      </c>
      <c r="F21" s="2">
        <v>11.0</v>
      </c>
      <c r="G21" s="2">
        <v>11.0</v>
      </c>
      <c r="H21" s="2">
        <v>11.0</v>
      </c>
      <c r="I21" s="2">
        <v>11.0</v>
      </c>
      <c r="J21" s="3" t="s">
        <v>111</v>
      </c>
      <c r="K21" s="2">
        <v>11.0</v>
      </c>
      <c r="L21" s="2">
        <v>11.0</v>
      </c>
      <c r="M21" s="2">
        <v>11.0</v>
      </c>
      <c r="N21" s="2">
        <v>11.0</v>
      </c>
    </row>
    <row r="22" ht="13.5" customHeight="1">
      <c r="A22" s="2">
        <v>20.0</v>
      </c>
      <c r="B22" s="2">
        <v>11.0</v>
      </c>
      <c r="C22" s="2">
        <v>11.0</v>
      </c>
      <c r="D22" s="2">
        <v>11.0</v>
      </c>
      <c r="E22" s="3" t="s">
        <v>111</v>
      </c>
      <c r="F22" s="2">
        <v>11.0</v>
      </c>
      <c r="G22" s="2">
        <v>11.0</v>
      </c>
      <c r="H22" s="2">
        <v>11.0</v>
      </c>
      <c r="I22" s="2">
        <v>11.0</v>
      </c>
      <c r="J22" s="3" t="s">
        <v>111</v>
      </c>
      <c r="K22" s="2">
        <v>11.0</v>
      </c>
      <c r="L22" s="2">
        <v>11.0</v>
      </c>
      <c r="M22" s="2">
        <v>11.0</v>
      </c>
      <c r="N22" s="2">
        <v>11.0</v>
      </c>
    </row>
    <row r="23" ht="13.5" customHeight="1">
      <c r="A23" s="2">
        <v>21.0</v>
      </c>
      <c r="B23" s="2">
        <v>11.0</v>
      </c>
      <c r="C23" s="2">
        <v>10.5</v>
      </c>
      <c r="D23" s="2">
        <v>11.0</v>
      </c>
      <c r="E23" s="3" t="s">
        <v>111</v>
      </c>
      <c r="F23" s="2">
        <v>11.0</v>
      </c>
      <c r="G23" s="2">
        <v>11.0</v>
      </c>
      <c r="H23" s="2">
        <v>11.0</v>
      </c>
      <c r="I23" s="2">
        <v>11.0</v>
      </c>
      <c r="J23" s="3" t="s">
        <v>111</v>
      </c>
      <c r="K23" s="2">
        <v>11.0</v>
      </c>
      <c r="L23" s="2">
        <v>10.5</v>
      </c>
      <c r="M23" s="2">
        <v>11.0</v>
      </c>
      <c r="N23" s="2">
        <v>11.0</v>
      </c>
    </row>
    <row r="24" ht="13.5" customHeight="1">
      <c r="A24" s="2">
        <v>22.0</v>
      </c>
      <c r="B24" s="2">
        <v>11.0</v>
      </c>
      <c r="C24" s="2">
        <v>11.0</v>
      </c>
      <c r="D24" s="2">
        <v>11.0</v>
      </c>
      <c r="E24" s="3" t="s">
        <v>111</v>
      </c>
      <c r="F24" s="2">
        <v>11.0</v>
      </c>
      <c r="G24" s="2">
        <v>11.0</v>
      </c>
      <c r="H24" s="2">
        <v>11.0</v>
      </c>
      <c r="I24" s="2">
        <v>11.0</v>
      </c>
      <c r="J24" s="3" t="s">
        <v>111</v>
      </c>
      <c r="K24" s="2">
        <v>11.0</v>
      </c>
      <c r="L24" s="2">
        <v>11.0</v>
      </c>
      <c r="M24" s="3" t="s">
        <v>26</v>
      </c>
      <c r="N24" s="2">
        <v>11.0</v>
      </c>
    </row>
    <row r="25" ht="13.5" customHeight="1">
      <c r="A25" s="2">
        <v>23.0</v>
      </c>
      <c r="E25" s="3" t="s">
        <v>111</v>
      </c>
      <c r="J25" s="3" t="s">
        <v>111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</row>
    <row r="27" ht="13.5" customHeight="1">
      <c r="A27" s="2">
        <v>25.0</v>
      </c>
      <c r="B27" s="2">
        <v>11.0</v>
      </c>
      <c r="C27" s="2">
        <v>10.5</v>
      </c>
      <c r="D27" s="2">
        <v>11.0</v>
      </c>
      <c r="E27" s="3" t="s">
        <v>111</v>
      </c>
      <c r="F27" s="2">
        <v>11.0</v>
      </c>
      <c r="H27" s="2">
        <v>10.5</v>
      </c>
      <c r="I27" s="2">
        <v>11.0</v>
      </c>
      <c r="J27" s="3" t="s">
        <v>111</v>
      </c>
      <c r="K27" s="2">
        <v>11.0</v>
      </c>
      <c r="L27" s="2">
        <v>11.0</v>
      </c>
      <c r="M27" s="2">
        <v>11.0</v>
      </c>
      <c r="N27" s="2">
        <v>11.0</v>
      </c>
    </row>
    <row r="28" ht="13.5" customHeight="1">
      <c r="A28" s="2">
        <v>26.0</v>
      </c>
      <c r="B28" s="2">
        <v>11.0</v>
      </c>
      <c r="C28" s="2">
        <v>10.5</v>
      </c>
      <c r="D28" s="2">
        <v>11.0</v>
      </c>
      <c r="E28" s="3" t="s">
        <v>111</v>
      </c>
      <c r="F28" s="3" t="s">
        <v>26</v>
      </c>
      <c r="G28" s="2">
        <v>11.0</v>
      </c>
      <c r="H28" s="2">
        <v>10.5</v>
      </c>
      <c r="I28" s="2">
        <v>11.0</v>
      </c>
      <c r="J28" s="3" t="s">
        <v>111</v>
      </c>
      <c r="K28" s="2">
        <v>11.0</v>
      </c>
      <c r="L28" s="2">
        <v>11.0</v>
      </c>
      <c r="M28" s="2">
        <v>11.0</v>
      </c>
      <c r="N28" s="2">
        <v>10.5</v>
      </c>
    </row>
    <row r="29" ht="13.5" customHeight="1">
      <c r="A29" s="2">
        <v>27.0</v>
      </c>
      <c r="B29" s="2">
        <v>11.0</v>
      </c>
      <c r="C29" s="2">
        <v>10.5</v>
      </c>
      <c r="D29" s="2">
        <v>11.0</v>
      </c>
      <c r="E29" s="3" t="s">
        <v>111</v>
      </c>
      <c r="F29" s="3" t="s">
        <v>26</v>
      </c>
      <c r="G29" s="2">
        <v>11.0</v>
      </c>
      <c r="H29" s="2">
        <v>10.5</v>
      </c>
      <c r="I29" s="2">
        <v>11.0</v>
      </c>
      <c r="J29" s="3" t="s">
        <v>111</v>
      </c>
      <c r="K29" s="2">
        <v>11.0</v>
      </c>
      <c r="L29" s="2">
        <v>11.0</v>
      </c>
      <c r="M29" s="2">
        <v>11.0</v>
      </c>
      <c r="N29" s="2">
        <v>10.5</v>
      </c>
    </row>
    <row r="30" ht="13.5" customHeight="1">
      <c r="A30" s="2">
        <v>28.0</v>
      </c>
      <c r="B30" s="2">
        <v>11.0</v>
      </c>
      <c r="C30" s="2">
        <v>10.5</v>
      </c>
      <c r="D30" s="2">
        <v>11.0</v>
      </c>
      <c r="E30" s="3" t="s">
        <v>111</v>
      </c>
      <c r="F30" s="3" t="s">
        <v>26</v>
      </c>
      <c r="G30" s="2">
        <v>11.0</v>
      </c>
      <c r="H30" s="2">
        <v>10.5</v>
      </c>
      <c r="I30" s="2">
        <v>11.0</v>
      </c>
      <c r="J30" s="3" t="s">
        <v>111</v>
      </c>
      <c r="K30" s="2">
        <v>11.0</v>
      </c>
      <c r="L30" s="2">
        <v>11.0</v>
      </c>
      <c r="M30" s="2">
        <v>11.0</v>
      </c>
      <c r="N30" s="2">
        <v>10.5</v>
      </c>
    </row>
    <row r="31" ht="13.5" customHeight="1">
      <c r="A31" s="2">
        <v>29.0</v>
      </c>
      <c r="B31" s="2">
        <v>11.0</v>
      </c>
      <c r="C31" s="26">
        <v>13.0</v>
      </c>
      <c r="D31" s="2">
        <v>11.0</v>
      </c>
      <c r="E31" s="3" t="s">
        <v>111</v>
      </c>
      <c r="F31" s="3" t="s">
        <v>26</v>
      </c>
      <c r="G31" s="2">
        <v>11.0</v>
      </c>
      <c r="H31" s="26">
        <v>13.0</v>
      </c>
      <c r="I31" s="2">
        <v>11.0</v>
      </c>
      <c r="J31" s="3" t="s">
        <v>111</v>
      </c>
      <c r="K31" s="2">
        <v>11.0</v>
      </c>
      <c r="L31" s="2">
        <v>11.0</v>
      </c>
      <c r="M31" s="2">
        <v>11.0</v>
      </c>
      <c r="N31" s="2">
        <v>5.0</v>
      </c>
    </row>
    <row r="32" ht="13.5" customHeight="1">
      <c r="A32" s="2">
        <v>30.0</v>
      </c>
      <c r="E32" s="3" t="s">
        <v>111</v>
      </c>
      <c r="F32" s="3" t="s">
        <v>26</v>
      </c>
      <c r="J32" s="3" t="s">
        <v>111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</row>
    <row r="34" ht="13.5" customHeight="1">
      <c r="A34" s="3" t="s">
        <v>11</v>
      </c>
      <c r="B34" s="2">
        <f t="shared" ref="B34:N34" si="1">SUM(B3:B33)</f>
        <v>187</v>
      </c>
      <c r="C34" s="2">
        <f t="shared" si="1"/>
        <v>229.5</v>
      </c>
      <c r="D34" s="2">
        <f t="shared" si="1"/>
        <v>231</v>
      </c>
      <c r="E34" s="2">
        <f t="shared" si="1"/>
        <v>69</v>
      </c>
      <c r="F34" s="2">
        <f t="shared" si="1"/>
        <v>176</v>
      </c>
      <c r="G34" s="2">
        <f t="shared" si="1"/>
        <v>206</v>
      </c>
      <c r="H34" s="2">
        <f t="shared" si="1"/>
        <v>224</v>
      </c>
      <c r="I34" s="2">
        <f t="shared" si="1"/>
        <v>236</v>
      </c>
      <c r="J34" s="2">
        <f t="shared" si="1"/>
        <v>69</v>
      </c>
      <c r="K34" s="2">
        <f t="shared" si="1"/>
        <v>213</v>
      </c>
      <c r="L34" s="2">
        <f t="shared" si="1"/>
        <v>219.5</v>
      </c>
      <c r="M34" s="2">
        <f t="shared" si="1"/>
        <v>192</v>
      </c>
      <c r="N34" s="2">
        <f t="shared" si="1"/>
        <v>198.5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0.25"/>
    <col customWidth="1" min="3" max="3" width="9.25"/>
    <col customWidth="1" min="4" max="4" width="8.63"/>
    <col customWidth="1" min="5" max="5" width="10.25"/>
    <col customWidth="1" min="6" max="6" width="14.25"/>
    <col customWidth="1" min="7" max="9" width="8.63"/>
    <col customWidth="1" min="10" max="10" width="26.25"/>
    <col customWidth="1" min="11" max="26" width="8.63"/>
  </cols>
  <sheetData>
    <row r="1" ht="13.5" customHeight="1">
      <c r="A1" s="3" t="s">
        <v>15</v>
      </c>
      <c r="B1" s="23" t="s">
        <v>234</v>
      </c>
      <c r="C1" s="2" t="s">
        <v>235</v>
      </c>
      <c r="D1" s="2" t="s">
        <v>236</v>
      </c>
      <c r="E1" s="2" t="s">
        <v>237</v>
      </c>
      <c r="F1" s="2" t="s">
        <v>200</v>
      </c>
      <c r="G1" s="23" t="s">
        <v>41</v>
      </c>
      <c r="H1" s="23" t="s">
        <v>50</v>
      </c>
      <c r="I1" s="2" t="s">
        <v>199</v>
      </c>
    </row>
    <row r="2" ht="13.5" customHeight="1">
      <c r="B2" s="2" t="s">
        <v>238</v>
      </c>
      <c r="C2" s="2" t="s">
        <v>239</v>
      </c>
      <c r="D2" s="2" t="s">
        <v>69</v>
      </c>
      <c r="E2" s="2" t="s">
        <v>240</v>
      </c>
      <c r="F2" s="2" t="s">
        <v>241</v>
      </c>
      <c r="G2" s="2" t="s">
        <v>46</v>
      </c>
      <c r="H2" s="2" t="s">
        <v>67</v>
      </c>
      <c r="I2" s="2" t="s">
        <v>105</v>
      </c>
    </row>
    <row r="3" ht="13.5" customHeight="1">
      <c r="A3" s="2">
        <v>1.0</v>
      </c>
      <c r="B3" s="12">
        <v>11.0</v>
      </c>
      <c r="G3" s="13" t="s">
        <v>242</v>
      </c>
      <c r="H3" s="13" t="s">
        <v>243</v>
      </c>
    </row>
    <row r="4" ht="13.5" customHeight="1">
      <c r="A4" s="2">
        <v>2.0</v>
      </c>
      <c r="B4" s="12">
        <v>5.0</v>
      </c>
      <c r="D4" s="2">
        <v>7.0</v>
      </c>
      <c r="E4" s="2">
        <v>7.0</v>
      </c>
      <c r="G4" s="12"/>
      <c r="H4" s="13" t="s">
        <v>244</v>
      </c>
    </row>
    <row r="5" ht="13.5" customHeight="1">
      <c r="A5" s="3" t="s">
        <v>4</v>
      </c>
      <c r="B5" s="13" t="s">
        <v>5</v>
      </c>
      <c r="D5" s="3" t="s">
        <v>5</v>
      </c>
      <c r="E5" s="3" t="s">
        <v>5</v>
      </c>
      <c r="G5" s="12"/>
      <c r="H5" s="12"/>
    </row>
    <row r="6" ht="13.5" customHeight="1">
      <c r="A6" s="2">
        <v>4.0</v>
      </c>
      <c r="B6" s="12">
        <v>11.0</v>
      </c>
      <c r="D6" s="2">
        <v>10.0</v>
      </c>
      <c r="E6" s="2">
        <v>10.0</v>
      </c>
      <c r="G6" s="12"/>
      <c r="H6" s="12"/>
    </row>
    <row r="7" ht="13.5" customHeight="1">
      <c r="A7" s="2">
        <v>5.0</v>
      </c>
      <c r="B7" s="12">
        <v>11.0</v>
      </c>
      <c r="D7" s="2">
        <v>10.0</v>
      </c>
      <c r="E7" s="2">
        <v>10.0</v>
      </c>
      <c r="G7" s="12"/>
      <c r="H7" s="12"/>
    </row>
    <row r="8" ht="13.5" customHeight="1">
      <c r="A8" s="2">
        <v>6.0</v>
      </c>
      <c r="B8" s="12">
        <v>11.0</v>
      </c>
      <c r="D8" s="2">
        <v>10.0</v>
      </c>
      <c r="E8" s="2">
        <v>10.0</v>
      </c>
      <c r="G8" s="12"/>
      <c r="H8" s="12"/>
    </row>
    <row r="9" ht="13.5" customHeight="1">
      <c r="A9" s="2">
        <v>7.0</v>
      </c>
      <c r="B9" s="12">
        <v>11.0</v>
      </c>
      <c r="D9" s="2">
        <v>10.0</v>
      </c>
      <c r="E9" s="2">
        <v>10.0</v>
      </c>
      <c r="G9" s="12"/>
      <c r="H9" s="12"/>
    </row>
    <row r="10" ht="13.5" customHeight="1">
      <c r="A10" s="2">
        <v>8.0</v>
      </c>
      <c r="B10" s="12">
        <v>11.0</v>
      </c>
      <c r="D10" s="2">
        <v>10.0</v>
      </c>
      <c r="E10" s="2">
        <v>10.0</v>
      </c>
      <c r="G10" s="12"/>
      <c r="H10" s="12"/>
    </row>
    <row r="11" ht="13.5" customHeight="1">
      <c r="A11" s="2">
        <v>9.0</v>
      </c>
      <c r="B11" s="12">
        <v>5.0</v>
      </c>
      <c r="D11" s="2">
        <v>7.0</v>
      </c>
      <c r="E11" s="2">
        <v>7.0</v>
      </c>
      <c r="G11" s="12"/>
      <c r="H11" s="12"/>
    </row>
    <row r="12" ht="13.5" customHeight="1">
      <c r="A12" s="3" t="s">
        <v>6</v>
      </c>
      <c r="B12" s="13" t="s">
        <v>5</v>
      </c>
      <c r="D12" s="3" t="s">
        <v>5</v>
      </c>
      <c r="E12" s="3" t="s">
        <v>5</v>
      </c>
      <c r="G12" s="12"/>
      <c r="H12" s="12"/>
      <c r="M12" s="27" t="s">
        <v>245</v>
      </c>
    </row>
    <row r="13" ht="13.5" customHeight="1">
      <c r="A13" s="2">
        <v>11.0</v>
      </c>
      <c r="B13" s="12">
        <v>11.0</v>
      </c>
      <c r="D13" s="2">
        <v>10.0</v>
      </c>
      <c r="E13" s="2">
        <v>10.0</v>
      </c>
      <c r="G13" s="12"/>
      <c r="H13" s="12"/>
    </row>
    <row r="14" ht="13.5" customHeight="1">
      <c r="A14" s="2">
        <v>12.0</v>
      </c>
      <c r="B14" s="12"/>
      <c r="D14" s="2">
        <v>10.0</v>
      </c>
      <c r="E14" s="2">
        <v>10.0</v>
      </c>
      <c r="G14" s="12"/>
      <c r="H14" s="12"/>
    </row>
    <row r="15" ht="13.5" customHeight="1">
      <c r="A15" s="2">
        <v>13.0</v>
      </c>
      <c r="B15" s="12"/>
      <c r="D15" s="2">
        <v>10.0</v>
      </c>
      <c r="E15" s="2">
        <v>10.0</v>
      </c>
      <c r="G15" s="12"/>
      <c r="H15" s="12"/>
    </row>
    <row r="16" ht="13.5" customHeight="1">
      <c r="A16" s="2">
        <v>14.0</v>
      </c>
      <c r="B16" s="12"/>
      <c r="D16" s="2">
        <v>10.0</v>
      </c>
      <c r="E16" s="2">
        <v>10.0</v>
      </c>
      <c r="G16" s="12"/>
      <c r="H16" s="12"/>
    </row>
    <row r="17" ht="13.5" customHeight="1">
      <c r="A17" s="2">
        <v>15.0</v>
      </c>
      <c r="B17" s="12"/>
      <c r="D17" s="2">
        <v>10.0</v>
      </c>
      <c r="E17" s="2">
        <v>10.0</v>
      </c>
      <c r="F17" s="11">
        <v>10.0</v>
      </c>
      <c r="G17" s="12"/>
      <c r="H17" s="12"/>
      <c r="I17" s="11">
        <v>10.0</v>
      </c>
    </row>
    <row r="18" ht="13.5" customHeight="1">
      <c r="A18" s="2">
        <v>16.0</v>
      </c>
      <c r="B18" s="12"/>
      <c r="D18" s="2">
        <v>7.0</v>
      </c>
      <c r="E18" s="2">
        <v>7.0</v>
      </c>
      <c r="F18" s="11"/>
      <c r="G18" s="12"/>
      <c r="H18" s="12"/>
      <c r="I18" s="11"/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19" t="s">
        <v>5</v>
      </c>
      <c r="G19" s="12"/>
      <c r="H19" s="12"/>
      <c r="I19" s="19" t="s">
        <v>5</v>
      </c>
      <c r="M19" s="19" t="s">
        <v>246</v>
      </c>
    </row>
    <row r="20" ht="13.5" customHeight="1">
      <c r="A20" s="2">
        <v>18.0</v>
      </c>
      <c r="D20" s="2">
        <v>10.0</v>
      </c>
      <c r="E20" s="2">
        <v>10.0</v>
      </c>
      <c r="F20" s="11">
        <v>10.0</v>
      </c>
      <c r="G20" s="12"/>
      <c r="H20" s="12"/>
      <c r="I20" s="11">
        <v>10.0</v>
      </c>
    </row>
    <row r="21" ht="13.5" customHeight="1">
      <c r="A21" s="2">
        <v>19.0</v>
      </c>
      <c r="D21" s="2">
        <v>10.0</v>
      </c>
      <c r="E21" s="2">
        <v>10.0</v>
      </c>
      <c r="F21" s="11">
        <v>10.0</v>
      </c>
      <c r="G21" s="12"/>
      <c r="H21" s="12"/>
      <c r="I21" s="11">
        <v>10.0</v>
      </c>
    </row>
    <row r="22" ht="13.5" customHeight="1">
      <c r="A22" s="2">
        <v>20.0</v>
      </c>
      <c r="B22" s="2">
        <v>11.0</v>
      </c>
      <c r="C22" s="2">
        <v>11.0</v>
      </c>
      <c r="D22" s="2">
        <v>10.0</v>
      </c>
      <c r="E22" s="2">
        <v>10.0</v>
      </c>
      <c r="F22" s="11">
        <v>10.0</v>
      </c>
      <c r="G22" s="12"/>
      <c r="H22" s="12"/>
      <c r="I22" s="11">
        <v>10.0</v>
      </c>
    </row>
    <row r="23" ht="13.5" customHeight="1">
      <c r="A23" s="2">
        <v>21.0</v>
      </c>
      <c r="B23" s="2">
        <v>11.0</v>
      </c>
      <c r="C23" s="2">
        <v>11.0</v>
      </c>
      <c r="D23" s="2">
        <v>10.0</v>
      </c>
      <c r="E23" s="2">
        <v>10.0</v>
      </c>
      <c r="F23" s="11">
        <v>10.0</v>
      </c>
      <c r="G23" s="12"/>
      <c r="H23" s="12"/>
      <c r="I23" s="11">
        <v>10.0</v>
      </c>
    </row>
    <row r="24" ht="13.5" customHeight="1">
      <c r="A24" s="2">
        <v>22.0</v>
      </c>
      <c r="B24" s="2">
        <v>11.0</v>
      </c>
      <c r="C24" s="2">
        <v>11.0</v>
      </c>
      <c r="D24" s="2">
        <v>10.0</v>
      </c>
      <c r="E24" s="2">
        <v>10.0</v>
      </c>
      <c r="F24" s="11">
        <v>10.0</v>
      </c>
      <c r="G24" s="12"/>
      <c r="H24" s="12"/>
      <c r="I24" s="11">
        <v>10.0</v>
      </c>
    </row>
    <row r="25" ht="13.5" customHeight="1">
      <c r="A25" s="2">
        <v>23.0</v>
      </c>
      <c r="B25" s="2">
        <v>6.0</v>
      </c>
      <c r="C25" s="2">
        <v>6.0</v>
      </c>
      <c r="D25" s="2">
        <v>7.0</v>
      </c>
      <c r="E25" s="2">
        <v>7.0</v>
      </c>
      <c r="F25" s="11"/>
      <c r="G25" s="12"/>
      <c r="H25" s="12"/>
      <c r="I25" s="11"/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12"/>
      <c r="H26" s="12"/>
      <c r="I26" s="3" t="s">
        <v>5</v>
      </c>
    </row>
    <row r="27" ht="13.5" customHeight="1">
      <c r="A27" s="2">
        <v>25.0</v>
      </c>
      <c r="B27" s="2">
        <v>11.0</v>
      </c>
      <c r="C27" s="2">
        <v>11.0</v>
      </c>
      <c r="D27" s="2">
        <v>10.0</v>
      </c>
      <c r="E27" s="2">
        <v>10.0</v>
      </c>
      <c r="G27" s="12"/>
      <c r="H27" s="12"/>
    </row>
    <row r="28" ht="13.5" customHeight="1">
      <c r="A28" s="2">
        <v>26.0</v>
      </c>
      <c r="B28" s="2">
        <v>11.0</v>
      </c>
      <c r="C28" s="2">
        <v>11.0</v>
      </c>
      <c r="D28" s="2">
        <v>10.0</v>
      </c>
      <c r="E28" s="2">
        <v>10.0</v>
      </c>
      <c r="G28" s="12"/>
      <c r="H28" s="12"/>
    </row>
    <row r="29" ht="13.5" customHeight="1">
      <c r="A29" s="2">
        <v>27.0</v>
      </c>
      <c r="B29" s="2">
        <v>11.0</v>
      </c>
      <c r="C29" s="2">
        <v>11.0</v>
      </c>
      <c r="D29" s="2">
        <v>10.0</v>
      </c>
      <c r="E29" s="2">
        <v>10.0</v>
      </c>
      <c r="F29" s="2">
        <v>10.0</v>
      </c>
      <c r="G29" s="2">
        <v>10.0</v>
      </c>
      <c r="I29" s="2">
        <v>10.0</v>
      </c>
    </row>
    <row r="30" ht="13.5" customHeight="1">
      <c r="A30" s="2">
        <v>28.0</v>
      </c>
      <c r="B30" s="2">
        <v>11.0</v>
      </c>
      <c r="C30" s="2">
        <v>11.0</v>
      </c>
      <c r="D30" s="2">
        <v>10.0</v>
      </c>
      <c r="E30" s="2">
        <v>10.0</v>
      </c>
      <c r="F30" s="2">
        <v>10.0</v>
      </c>
      <c r="G30" s="2">
        <v>10.0</v>
      </c>
      <c r="H30" s="2">
        <v>10.0</v>
      </c>
      <c r="I30" s="2">
        <v>10.0</v>
      </c>
    </row>
    <row r="31" ht="13.5" customHeight="1">
      <c r="A31" s="2">
        <v>29.0</v>
      </c>
      <c r="B31" s="2">
        <v>11.0</v>
      </c>
      <c r="C31" s="2">
        <v>11.0</v>
      </c>
      <c r="D31" s="2">
        <v>10.0</v>
      </c>
      <c r="E31" s="2">
        <v>10.0</v>
      </c>
      <c r="F31" s="2">
        <v>10.0</v>
      </c>
      <c r="G31" s="2">
        <v>10.0</v>
      </c>
      <c r="H31" s="2">
        <v>10.0</v>
      </c>
      <c r="I31" s="2">
        <v>10.0</v>
      </c>
    </row>
    <row r="32" ht="13.5" customHeight="1">
      <c r="A32" s="2">
        <v>30.0</v>
      </c>
      <c r="B32" s="2">
        <v>6.0</v>
      </c>
      <c r="C32" s="2">
        <v>6.0</v>
      </c>
      <c r="D32" s="2">
        <v>7.0</v>
      </c>
      <c r="E32" s="2">
        <v>7.0</v>
      </c>
      <c r="F32" s="2">
        <v>6.0</v>
      </c>
      <c r="G32" s="2">
        <v>6.0</v>
      </c>
      <c r="H32" s="2">
        <v>6.0</v>
      </c>
      <c r="I32" s="2">
        <v>6.0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</row>
    <row r="34" ht="13.5" customHeight="1">
      <c r="A34" s="3" t="s">
        <v>11</v>
      </c>
      <c r="B34" s="2">
        <f t="shared" ref="B34:C34" si="1">SUM(B22:B33)</f>
        <v>100</v>
      </c>
      <c r="C34" s="2">
        <f t="shared" si="1"/>
        <v>100</v>
      </c>
      <c r="D34" s="2">
        <f t="shared" ref="D34:I34" si="2">SUM(D3:D33)</f>
        <v>235</v>
      </c>
      <c r="E34" s="2">
        <f t="shared" si="2"/>
        <v>235</v>
      </c>
      <c r="F34" s="2">
        <f t="shared" si="2"/>
        <v>96</v>
      </c>
      <c r="G34" s="2">
        <f t="shared" si="2"/>
        <v>36</v>
      </c>
      <c r="H34" s="2">
        <f t="shared" si="2"/>
        <v>26</v>
      </c>
      <c r="I34" s="2">
        <f t="shared" si="2"/>
        <v>96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247</v>
      </c>
      <c r="C1" s="2" t="s">
        <v>248</v>
      </c>
      <c r="D1" s="2" t="s">
        <v>249</v>
      </c>
      <c r="E1" s="14" t="s">
        <v>250</v>
      </c>
    </row>
    <row r="2" ht="13.5" customHeight="1">
      <c r="B2" s="2" t="s">
        <v>251</v>
      </c>
      <c r="C2" s="2" t="s">
        <v>76</v>
      </c>
      <c r="D2" s="2" t="s">
        <v>252</v>
      </c>
      <c r="E2" s="2" t="s">
        <v>153</v>
      </c>
    </row>
    <row r="3" ht="13.5" customHeight="1">
      <c r="A3" s="2">
        <v>1.0</v>
      </c>
      <c r="B3" s="2">
        <v>10.0</v>
      </c>
      <c r="C3" s="2">
        <v>10.0</v>
      </c>
      <c r="D3" s="2">
        <v>10.0</v>
      </c>
      <c r="E3" s="2">
        <v>10.0</v>
      </c>
    </row>
    <row r="4" ht="13.5" customHeight="1">
      <c r="A4" s="2">
        <v>2.0</v>
      </c>
      <c r="B4" s="2">
        <v>4.5</v>
      </c>
      <c r="C4" s="2">
        <v>4.5</v>
      </c>
      <c r="D4" s="2">
        <v>4.5</v>
      </c>
      <c r="E4" s="2">
        <v>4.5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9.0</v>
      </c>
      <c r="C6" s="2">
        <v>9.0</v>
      </c>
      <c r="D6" s="2">
        <v>9.0</v>
      </c>
      <c r="E6" s="2">
        <v>9.0</v>
      </c>
    </row>
    <row r="7" ht="13.5" customHeight="1">
      <c r="A7" s="2">
        <v>5.0</v>
      </c>
      <c r="B7" s="2">
        <v>9.0</v>
      </c>
      <c r="C7" s="2">
        <v>9.0</v>
      </c>
      <c r="D7" s="2">
        <v>9.0</v>
      </c>
      <c r="E7" s="2">
        <v>9.0</v>
      </c>
    </row>
    <row r="8" ht="13.5" customHeight="1">
      <c r="A8" s="2">
        <v>6.0</v>
      </c>
      <c r="B8" s="2">
        <v>9.0</v>
      </c>
      <c r="C8" s="2">
        <v>9.0</v>
      </c>
      <c r="D8" s="2">
        <v>9.0</v>
      </c>
      <c r="E8" s="2">
        <v>9.0</v>
      </c>
    </row>
    <row r="9" ht="13.5" customHeight="1">
      <c r="A9" s="2">
        <v>7.0</v>
      </c>
      <c r="B9" s="2">
        <v>10.0</v>
      </c>
      <c r="C9" s="2">
        <v>10.0</v>
      </c>
      <c r="D9" s="2">
        <v>9.0</v>
      </c>
      <c r="E9" s="2">
        <v>9.0</v>
      </c>
    </row>
    <row r="10" ht="13.5" customHeight="1">
      <c r="A10" s="2">
        <v>8.0</v>
      </c>
      <c r="B10" s="2">
        <v>10.0</v>
      </c>
      <c r="C10" s="2">
        <v>10.0</v>
      </c>
      <c r="D10" s="2">
        <v>9.0</v>
      </c>
      <c r="E10" s="2">
        <v>9.0</v>
      </c>
    </row>
    <row r="11" ht="13.5" customHeight="1">
      <c r="A11" s="2">
        <v>9.0</v>
      </c>
      <c r="B11" s="2">
        <v>7.0</v>
      </c>
      <c r="C11" s="2">
        <v>7.0</v>
      </c>
      <c r="D11" s="2">
        <v>7.0</v>
      </c>
      <c r="E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9.0</v>
      </c>
      <c r="E13" s="2">
        <v>9.0</v>
      </c>
    </row>
    <row r="14" ht="13.5" customHeight="1">
      <c r="A14" s="2">
        <v>12.0</v>
      </c>
      <c r="B14" s="2">
        <v>10.0</v>
      </c>
      <c r="C14" s="2">
        <v>10.0</v>
      </c>
      <c r="D14" s="2">
        <v>9.0</v>
      </c>
      <c r="E14" s="2">
        <v>9.0</v>
      </c>
    </row>
    <row r="15" ht="13.5" customHeight="1">
      <c r="A15" s="2">
        <v>13.0</v>
      </c>
      <c r="B15" s="3" t="s">
        <v>26</v>
      </c>
      <c r="C15" s="3" t="s">
        <v>26</v>
      </c>
      <c r="D15" s="2">
        <v>7.5</v>
      </c>
      <c r="E15" s="2">
        <v>7.5</v>
      </c>
    </row>
    <row r="16" ht="13.5" customHeight="1">
      <c r="A16" s="2">
        <v>14.0</v>
      </c>
      <c r="B16" s="2">
        <v>10.0</v>
      </c>
      <c r="C16" s="2">
        <v>10.0</v>
      </c>
      <c r="D16" s="3" t="s">
        <v>26</v>
      </c>
      <c r="E16" s="2">
        <v>9.0</v>
      </c>
    </row>
    <row r="17" ht="13.5" customHeight="1">
      <c r="A17" s="2">
        <v>15.0</v>
      </c>
      <c r="B17" s="2">
        <v>10.0</v>
      </c>
      <c r="C17" s="2">
        <v>10.0</v>
      </c>
      <c r="D17" s="2">
        <v>9.0</v>
      </c>
      <c r="E17" s="2">
        <v>9.0</v>
      </c>
    </row>
    <row r="18" ht="13.5" customHeight="1">
      <c r="A18" s="2">
        <v>16.0</v>
      </c>
      <c r="B18" s="2">
        <v>7.0</v>
      </c>
      <c r="C18" s="2">
        <v>7.0</v>
      </c>
      <c r="D18" s="2">
        <v>5.0</v>
      </c>
      <c r="E18" s="2">
        <v>5.0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9.0</v>
      </c>
      <c r="E20" s="2">
        <v>9.0</v>
      </c>
    </row>
    <row r="21" ht="13.5" customHeight="1">
      <c r="A21" s="2">
        <v>19.0</v>
      </c>
      <c r="B21" s="2">
        <v>10.0</v>
      </c>
      <c r="C21" s="2">
        <v>10.0</v>
      </c>
      <c r="D21" s="2">
        <v>9.0</v>
      </c>
      <c r="E21" s="2">
        <v>9.0</v>
      </c>
    </row>
    <row r="22" ht="13.5" customHeight="1">
      <c r="A22" s="2">
        <v>20.0</v>
      </c>
      <c r="B22" s="2">
        <v>10.0</v>
      </c>
      <c r="C22" s="2">
        <v>10.0</v>
      </c>
      <c r="D22" s="2">
        <v>9.0</v>
      </c>
      <c r="E22" s="2">
        <v>9.0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9.5</v>
      </c>
    </row>
    <row r="24" ht="13.5" customHeight="1">
      <c r="A24" s="2">
        <v>22.0</v>
      </c>
      <c r="B24" s="2">
        <v>10.0</v>
      </c>
      <c r="C24" s="2">
        <v>10.0</v>
      </c>
      <c r="D24" s="2">
        <v>9.0</v>
      </c>
      <c r="E24" s="2">
        <v>8.5</v>
      </c>
    </row>
    <row r="25" ht="13.5" customHeight="1">
      <c r="A25" s="2">
        <v>23.0</v>
      </c>
      <c r="B25" s="2">
        <v>7.0</v>
      </c>
      <c r="C25" s="2">
        <v>7.0</v>
      </c>
      <c r="D25" s="2">
        <v>7.0</v>
      </c>
      <c r="E25" s="2">
        <v>6.5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10.0</v>
      </c>
      <c r="C27" s="3" t="s">
        <v>26</v>
      </c>
      <c r="D27" s="2">
        <v>9.0</v>
      </c>
      <c r="E27" s="2">
        <v>8.5</v>
      </c>
    </row>
    <row r="28" ht="13.5" customHeight="1">
      <c r="A28" s="2">
        <v>26.0</v>
      </c>
      <c r="B28" s="2">
        <v>10.0</v>
      </c>
      <c r="C28" s="2">
        <v>10.0</v>
      </c>
      <c r="D28" s="2">
        <v>9.0</v>
      </c>
      <c r="E28" s="2">
        <v>8.5</v>
      </c>
    </row>
    <row r="29" ht="13.5" customHeight="1">
      <c r="A29" s="2">
        <v>27.0</v>
      </c>
      <c r="B29" s="2">
        <v>10.0</v>
      </c>
      <c r="C29" s="2">
        <v>10.0</v>
      </c>
      <c r="D29" s="2">
        <v>9.0</v>
      </c>
      <c r="E29" s="2">
        <v>8.5</v>
      </c>
    </row>
    <row r="30" ht="13.5" customHeight="1">
      <c r="A30" s="2">
        <v>28.0</v>
      </c>
      <c r="B30" s="2">
        <v>10.0</v>
      </c>
      <c r="C30" s="2">
        <v>10.0</v>
      </c>
      <c r="D30" s="2">
        <v>8.5</v>
      </c>
      <c r="E30" s="2">
        <v>8.5</v>
      </c>
    </row>
    <row r="31" ht="13.5" customHeight="1">
      <c r="A31" s="2">
        <v>29.0</v>
      </c>
      <c r="B31" s="2">
        <v>10.0</v>
      </c>
      <c r="C31" s="2">
        <v>10.0</v>
      </c>
      <c r="D31" s="2">
        <v>8.5</v>
      </c>
      <c r="E31" s="2">
        <v>8.5</v>
      </c>
    </row>
    <row r="32" ht="13.5" customHeight="1">
      <c r="A32" s="2">
        <v>30.0</v>
      </c>
      <c r="B32" s="2">
        <v>7.0</v>
      </c>
      <c r="C32" s="2">
        <v>7.0</v>
      </c>
      <c r="D32" s="2">
        <v>9.0</v>
      </c>
      <c r="E32" s="2">
        <v>8.5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</row>
    <row r="34" ht="13.5" customHeight="1">
      <c r="A34" s="3" t="s">
        <v>11</v>
      </c>
      <c r="B34" s="2">
        <f t="shared" ref="B34:E34" si="1">SUM(B3:B33)</f>
        <v>229.5</v>
      </c>
      <c r="C34" s="2">
        <f t="shared" si="1"/>
        <v>219.5</v>
      </c>
      <c r="D34" s="2">
        <f t="shared" si="1"/>
        <v>212</v>
      </c>
      <c r="E34" s="2">
        <f t="shared" si="1"/>
        <v>217.5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8.63"/>
    <col customWidth="1" min="3" max="3" width="12.75"/>
    <col customWidth="1" min="4" max="26" width="8.63"/>
  </cols>
  <sheetData>
    <row r="1" ht="13.5" customHeight="1">
      <c r="A1" s="3" t="s">
        <v>15</v>
      </c>
      <c r="B1" s="2" t="s">
        <v>253</v>
      </c>
      <c r="C1" s="2" t="s">
        <v>193</v>
      </c>
      <c r="D1" s="2" t="s">
        <v>254</v>
      </c>
    </row>
    <row r="2" ht="13.5" customHeight="1">
      <c r="B2" s="2" t="s">
        <v>255</v>
      </c>
      <c r="C2" s="2" t="s">
        <v>195</v>
      </c>
      <c r="D2" s="2" t="s">
        <v>256</v>
      </c>
    </row>
    <row r="3" ht="13.5" customHeight="1">
      <c r="A3" s="2">
        <v>1.0</v>
      </c>
      <c r="C3" s="2">
        <v>12.0</v>
      </c>
      <c r="D3" s="2">
        <v>12.0</v>
      </c>
    </row>
    <row r="4" ht="13.5" customHeight="1">
      <c r="A4" s="2">
        <v>2.0</v>
      </c>
      <c r="C4" s="2">
        <v>5.0</v>
      </c>
      <c r="D4" s="2">
        <v>5.0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</row>
    <row r="6" ht="13.5" customHeight="1">
      <c r="A6" s="2">
        <v>4.0</v>
      </c>
      <c r="C6" s="2">
        <v>12.0</v>
      </c>
      <c r="D6" s="2">
        <v>12.0</v>
      </c>
    </row>
    <row r="7" ht="13.5" customHeight="1">
      <c r="A7" s="2">
        <v>5.0</v>
      </c>
      <c r="C7" s="2">
        <v>12.0</v>
      </c>
      <c r="D7" s="13" t="s">
        <v>257</v>
      </c>
    </row>
    <row r="8" ht="13.5" customHeight="1">
      <c r="A8" s="2">
        <v>6.0</v>
      </c>
      <c r="B8" s="2">
        <v>12.0</v>
      </c>
      <c r="C8" s="2">
        <v>12.0</v>
      </c>
      <c r="D8" s="13" t="s">
        <v>258</v>
      </c>
    </row>
    <row r="9" ht="13.5" customHeight="1">
      <c r="A9" s="2">
        <v>7.0</v>
      </c>
      <c r="B9" s="2">
        <v>12.0</v>
      </c>
      <c r="C9" s="2">
        <v>12.0</v>
      </c>
      <c r="D9" s="13" t="s">
        <v>259</v>
      </c>
    </row>
    <row r="10" ht="13.5" customHeight="1">
      <c r="A10" s="2">
        <v>8.0</v>
      </c>
      <c r="B10" s="2">
        <v>12.0</v>
      </c>
      <c r="C10" s="2">
        <v>12.0</v>
      </c>
      <c r="D10" s="12"/>
    </row>
    <row r="11" ht="13.5" customHeight="1">
      <c r="A11" s="2">
        <v>9.0</v>
      </c>
      <c r="B11" s="2">
        <v>7.0</v>
      </c>
      <c r="C11" s="2">
        <v>7.0</v>
      </c>
      <c r="D11" s="12"/>
    </row>
    <row r="12" ht="13.5" customHeight="1">
      <c r="A12" s="3" t="s">
        <v>6</v>
      </c>
      <c r="B12" s="3" t="s">
        <v>5</v>
      </c>
      <c r="C12" s="3" t="s">
        <v>5</v>
      </c>
      <c r="D12" s="12"/>
    </row>
    <row r="13" ht="13.5" customHeight="1">
      <c r="A13" s="2">
        <v>11.0</v>
      </c>
      <c r="B13" s="2">
        <v>12.0</v>
      </c>
      <c r="C13" s="2">
        <v>12.0</v>
      </c>
      <c r="D13" s="12"/>
    </row>
    <row r="14" ht="13.5" customHeight="1">
      <c r="A14" s="2">
        <v>12.0</v>
      </c>
      <c r="B14" s="2">
        <v>12.0</v>
      </c>
      <c r="C14" s="2">
        <v>12.0</v>
      </c>
      <c r="D14" s="12"/>
    </row>
    <row r="15" ht="13.5" customHeight="1">
      <c r="A15" s="2">
        <v>13.0</v>
      </c>
      <c r="B15" s="2">
        <v>12.0</v>
      </c>
      <c r="C15" s="2">
        <v>12.0</v>
      </c>
      <c r="D15" s="12"/>
    </row>
    <row r="16" ht="13.5" customHeight="1">
      <c r="A16" s="2">
        <v>14.0</v>
      </c>
      <c r="B16" s="2">
        <v>12.0</v>
      </c>
      <c r="C16" s="2">
        <v>12.0</v>
      </c>
      <c r="D16" s="12"/>
    </row>
    <row r="17" ht="13.5" customHeight="1">
      <c r="A17" s="2">
        <v>15.0</v>
      </c>
      <c r="B17" s="2">
        <v>12.0</v>
      </c>
      <c r="C17" s="2">
        <v>12.0</v>
      </c>
      <c r="D17" s="12"/>
    </row>
    <row r="18" ht="13.5" customHeight="1">
      <c r="A18" s="2">
        <v>16.0</v>
      </c>
      <c r="B18" s="2">
        <v>7.0</v>
      </c>
      <c r="C18" s="2">
        <v>7.0</v>
      </c>
      <c r="D18" s="12"/>
    </row>
    <row r="19" ht="13.5" customHeight="1">
      <c r="A19" s="3" t="s">
        <v>7</v>
      </c>
      <c r="B19" s="3" t="s">
        <v>5</v>
      </c>
      <c r="C19" s="3" t="s">
        <v>5</v>
      </c>
      <c r="D19" s="12"/>
    </row>
    <row r="20" ht="13.5" customHeight="1">
      <c r="A20" s="2">
        <v>18.0</v>
      </c>
      <c r="B20" s="2">
        <v>12.0</v>
      </c>
      <c r="C20" s="2">
        <v>12.0</v>
      </c>
      <c r="D20" s="12"/>
    </row>
    <row r="21" ht="13.5" customHeight="1">
      <c r="A21" s="2">
        <v>19.0</v>
      </c>
      <c r="B21" s="2">
        <v>12.0</v>
      </c>
      <c r="C21" s="2">
        <v>12.0</v>
      </c>
      <c r="D21" s="12"/>
    </row>
    <row r="22" ht="13.5" customHeight="1">
      <c r="A22" s="2">
        <v>20.0</v>
      </c>
      <c r="B22" s="2">
        <v>12.0</v>
      </c>
      <c r="C22" s="2">
        <v>12.0</v>
      </c>
      <c r="D22" s="12"/>
    </row>
    <row r="23" ht="13.5" customHeight="1">
      <c r="A23" s="2">
        <v>21.0</v>
      </c>
      <c r="B23" s="2">
        <v>12.0</v>
      </c>
      <c r="C23" s="2">
        <v>12.0</v>
      </c>
      <c r="D23" s="12"/>
    </row>
    <row r="24" ht="13.5" customHeight="1">
      <c r="A24" s="2">
        <v>22.0</v>
      </c>
      <c r="B24" s="2">
        <v>12.0</v>
      </c>
      <c r="C24" s="2">
        <v>12.0</v>
      </c>
      <c r="D24" s="12"/>
    </row>
    <row r="25" ht="13.5" customHeight="1">
      <c r="A25" s="2">
        <v>23.0</v>
      </c>
      <c r="D25" s="12"/>
    </row>
    <row r="26" ht="13.5" customHeight="1">
      <c r="A26" s="3" t="s">
        <v>8</v>
      </c>
      <c r="B26" s="3" t="s">
        <v>5</v>
      </c>
      <c r="C26" s="3" t="s">
        <v>5</v>
      </c>
      <c r="D26" s="12"/>
    </row>
    <row r="27" ht="13.5" customHeight="1">
      <c r="A27" s="2">
        <v>25.0</v>
      </c>
      <c r="D27" s="12"/>
    </row>
    <row r="28" ht="13.5" customHeight="1">
      <c r="A28" s="2">
        <v>26.0</v>
      </c>
      <c r="D28" s="12"/>
    </row>
    <row r="29" ht="13.5" customHeight="1">
      <c r="A29" s="2">
        <v>27.0</v>
      </c>
      <c r="D29" s="12"/>
    </row>
    <row r="30" ht="13.5" customHeight="1">
      <c r="A30" s="2">
        <v>28.0</v>
      </c>
      <c r="D30" s="12"/>
    </row>
    <row r="31" ht="13.5" customHeight="1">
      <c r="A31" s="2">
        <v>29.0</v>
      </c>
      <c r="D31" s="12"/>
    </row>
    <row r="32" ht="13.5" customHeight="1">
      <c r="A32" s="2">
        <v>30.0</v>
      </c>
      <c r="D32" s="12"/>
    </row>
    <row r="33" ht="13.5" customHeight="1">
      <c r="A33" s="3" t="s">
        <v>9</v>
      </c>
      <c r="B33" s="3" t="s">
        <v>5</v>
      </c>
      <c r="C33" s="3" t="s">
        <v>5</v>
      </c>
      <c r="D33" s="12"/>
    </row>
    <row r="34" ht="13.5" customHeight="1">
      <c r="A34" s="3" t="s">
        <v>11</v>
      </c>
      <c r="B34" s="2">
        <f t="shared" ref="B34:C34" si="1">SUM(B3:B33)</f>
        <v>170</v>
      </c>
      <c r="C34" s="2">
        <f t="shared" si="1"/>
        <v>211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260</v>
      </c>
      <c r="C1" s="2" t="s">
        <v>261</v>
      </c>
    </row>
    <row r="2" ht="13.5" customHeight="1">
      <c r="B2" s="2" t="s">
        <v>262</v>
      </c>
      <c r="C2" s="2" t="s">
        <v>168</v>
      </c>
    </row>
    <row r="3" ht="13.5" customHeight="1">
      <c r="A3" s="2">
        <v>1.0</v>
      </c>
      <c r="B3" s="2">
        <v>10.0</v>
      </c>
    </row>
    <row r="4" ht="13.5" customHeight="1">
      <c r="A4" s="2">
        <v>2.0</v>
      </c>
      <c r="B4" s="2">
        <v>7.500000000000002</v>
      </c>
    </row>
    <row r="5" ht="13.5" customHeight="1">
      <c r="A5" s="3" t="s">
        <v>4</v>
      </c>
      <c r="B5" s="3" t="s">
        <v>5</v>
      </c>
    </row>
    <row r="6" ht="13.5" customHeight="1">
      <c r="A6" s="2">
        <v>4.0</v>
      </c>
      <c r="B6" s="28">
        <v>8.333333333333332</v>
      </c>
    </row>
    <row r="7" ht="13.5" customHeight="1">
      <c r="A7" s="2">
        <v>5.0</v>
      </c>
      <c r="B7" s="2">
        <v>7.749999999999999</v>
      </c>
    </row>
    <row r="8" ht="13.5" customHeight="1">
      <c r="A8" s="2">
        <v>6.0</v>
      </c>
      <c r="B8" s="2">
        <v>10.0</v>
      </c>
    </row>
    <row r="9" ht="13.5" customHeight="1">
      <c r="A9" s="2">
        <v>7.0</v>
      </c>
      <c r="B9" s="2">
        <v>9.0</v>
      </c>
    </row>
    <row r="10" ht="13.5" customHeight="1">
      <c r="A10" s="2">
        <v>8.0</v>
      </c>
      <c r="B10" s="2">
        <v>10.0</v>
      </c>
    </row>
    <row r="11" ht="13.5" customHeight="1">
      <c r="A11" s="2">
        <v>9.0</v>
      </c>
      <c r="B11" s="3" t="s">
        <v>26</v>
      </c>
    </row>
    <row r="12" ht="13.5" customHeight="1">
      <c r="A12" s="3" t="s">
        <v>6</v>
      </c>
      <c r="B12" s="3" t="s">
        <v>5</v>
      </c>
    </row>
    <row r="13" ht="13.5" customHeight="1">
      <c r="A13" s="2">
        <v>11.0</v>
      </c>
      <c r="B13" s="2">
        <v>9.5</v>
      </c>
    </row>
    <row r="14" ht="13.5" customHeight="1">
      <c r="A14" s="2">
        <v>12.0</v>
      </c>
      <c r="B14" s="2">
        <v>8.0</v>
      </c>
    </row>
    <row r="15" ht="13.5" customHeight="1">
      <c r="A15" s="2">
        <v>13.0</v>
      </c>
      <c r="B15" s="2">
        <v>9.0</v>
      </c>
    </row>
    <row r="16" ht="13.5" customHeight="1">
      <c r="A16" s="2">
        <v>14.0</v>
      </c>
      <c r="B16" s="2">
        <v>10.0</v>
      </c>
    </row>
    <row r="17" ht="13.5" customHeight="1">
      <c r="A17" s="2">
        <v>15.0</v>
      </c>
      <c r="B17" s="2">
        <v>10.0</v>
      </c>
    </row>
    <row r="18" ht="13.5" customHeight="1">
      <c r="A18" s="2">
        <v>16.0</v>
      </c>
      <c r="B18" s="2">
        <v>5.0</v>
      </c>
    </row>
    <row r="19" ht="13.5" customHeight="1">
      <c r="A19" s="3" t="s">
        <v>7</v>
      </c>
      <c r="B19" s="3" t="s">
        <v>5</v>
      </c>
    </row>
    <row r="20" ht="13.5" customHeight="1">
      <c r="A20" s="2">
        <v>18.0</v>
      </c>
      <c r="B20" s="2">
        <v>10.0</v>
      </c>
    </row>
    <row r="21" ht="13.5" customHeight="1">
      <c r="A21" s="2">
        <v>19.0</v>
      </c>
      <c r="B21" s="2">
        <v>10.0</v>
      </c>
    </row>
    <row r="22" ht="13.5" customHeight="1">
      <c r="A22" s="2">
        <v>20.0</v>
      </c>
      <c r="B22" s="2">
        <v>10.0</v>
      </c>
    </row>
    <row r="23" ht="13.5" customHeight="1">
      <c r="A23" s="2">
        <v>21.0</v>
      </c>
      <c r="B23" s="2">
        <v>10.0</v>
      </c>
    </row>
    <row r="24" ht="13.5" customHeight="1">
      <c r="A24" s="2">
        <v>22.0</v>
      </c>
      <c r="B24" s="3" t="s">
        <v>26</v>
      </c>
    </row>
    <row r="25" ht="13.5" customHeight="1">
      <c r="A25" s="2">
        <v>23.0</v>
      </c>
      <c r="B25" s="3" t="s">
        <v>26</v>
      </c>
    </row>
    <row r="26" ht="13.5" customHeight="1">
      <c r="A26" s="3" t="s">
        <v>8</v>
      </c>
      <c r="B26" s="3" t="s">
        <v>5</v>
      </c>
    </row>
    <row r="27" ht="13.5" customHeight="1">
      <c r="A27" s="2">
        <v>25.0</v>
      </c>
      <c r="B27" s="3" t="s">
        <v>26</v>
      </c>
    </row>
    <row r="28" ht="13.5" customHeight="1">
      <c r="A28" s="2">
        <v>26.0</v>
      </c>
      <c r="B28" s="2">
        <v>10.0</v>
      </c>
    </row>
    <row r="29" ht="13.5" customHeight="1">
      <c r="A29" s="2">
        <v>27.0</v>
      </c>
      <c r="B29" s="2">
        <v>6.5</v>
      </c>
    </row>
    <row r="30" ht="13.5" customHeight="1">
      <c r="A30" s="2">
        <v>28.0</v>
      </c>
      <c r="B30" s="2">
        <v>7.499999999999998</v>
      </c>
    </row>
    <row r="31" ht="13.5" customHeight="1">
      <c r="A31" s="2">
        <v>29.0</v>
      </c>
      <c r="B31" s="2">
        <v>10.0</v>
      </c>
    </row>
    <row r="32" ht="13.5" customHeight="1">
      <c r="A32" s="2">
        <v>30.0</v>
      </c>
      <c r="B32" s="2">
        <v>5.0</v>
      </c>
    </row>
    <row r="33" ht="13.5" customHeight="1">
      <c r="A33" s="3" t="s">
        <v>9</v>
      </c>
      <c r="B33" s="3" t="s">
        <v>5</v>
      </c>
    </row>
    <row r="34" ht="13.5" customHeight="1">
      <c r="A34" s="3" t="s">
        <v>11</v>
      </c>
      <c r="B34" s="28">
        <f>SUM(B3:B33)</f>
        <v>193.0833333</v>
      </c>
      <c r="C34" s="2">
        <v>183.0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3" t="s">
        <v>15</v>
      </c>
      <c r="B1" s="2" t="s">
        <v>254</v>
      </c>
      <c r="C1" s="2" t="s">
        <v>263</v>
      </c>
      <c r="D1" s="2" t="s">
        <v>264</v>
      </c>
      <c r="E1" s="2" t="s">
        <v>203</v>
      </c>
      <c r="F1" s="2" t="s">
        <v>204</v>
      </c>
      <c r="G1" s="2" t="s">
        <v>265</v>
      </c>
    </row>
    <row r="2" ht="13.5" customHeight="1">
      <c r="B2" s="2" t="s">
        <v>256</v>
      </c>
      <c r="C2" s="2" t="s">
        <v>152</v>
      </c>
      <c r="D2" s="2" t="s">
        <v>173</v>
      </c>
      <c r="E2" s="2" t="s">
        <v>208</v>
      </c>
      <c r="F2" s="2" t="s">
        <v>209</v>
      </c>
      <c r="G2" s="2" t="s">
        <v>266</v>
      </c>
    </row>
    <row r="3" ht="13.5" customHeight="1">
      <c r="A3" s="2">
        <v>1.0</v>
      </c>
      <c r="B3" s="13" t="s">
        <v>267</v>
      </c>
    </row>
    <row r="4" ht="13.5" customHeight="1">
      <c r="A4" s="2">
        <v>2.0</v>
      </c>
      <c r="B4" s="12"/>
    </row>
    <row r="5" ht="13.5" customHeight="1">
      <c r="A5" s="3" t="s">
        <v>4</v>
      </c>
      <c r="B5" s="13" t="s">
        <v>5</v>
      </c>
    </row>
    <row r="6" ht="13.5" customHeight="1">
      <c r="A6" s="2">
        <v>4.0</v>
      </c>
      <c r="B6" s="12"/>
    </row>
    <row r="7" ht="13.5" customHeight="1">
      <c r="A7" s="2">
        <v>5.0</v>
      </c>
      <c r="E7" s="13" t="s">
        <v>268</v>
      </c>
      <c r="F7" s="13" t="s">
        <v>268</v>
      </c>
    </row>
    <row r="8" ht="13.5" customHeight="1">
      <c r="A8" s="2">
        <v>6.0</v>
      </c>
      <c r="E8" s="12"/>
      <c r="F8" s="12"/>
    </row>
    <row r="9" ht="13.5" customHeight="1">
      <c r="A9" s="2">
        <v>7.0</v>
      </c>
      <c r="E9" s="12"/>
      <c r="F9" s="12"/>
    </row>
    <row r="10" ht="13.5" customHeight="1">
      <c r="A10" s="2">
        <v>8.0</v>
      </c>
    </row>
    <row r="11" ht="13.5" customHeight="1">
      <c r="A11" s="2">
        <v>9.0</v>
      </c>
    </row>
    <row r="12" ht="13.5" customHeight="1">
      <c r="A12" s="3" t="s">
        <v>6</v>
      </c>
    </row>
    <row r="13" ht="13.5" customHeight="1">
      <c r="A13" s="2">
        <v>11.0</v>
      </c>
    </row>
    <row r="14" ht="13.5" customHeight="1">
      <c r="A14" s="2">
        <v>12.0</v>
      </c>
    </row>
    <row r="15" ht="13.5" customHeight="1">
      <c r="A15" s="2">
        <v>13.0</v>
      </c>
      <c r="B15" s="2">
        <v>10.0</v>
      </c>
      <c r="C15" s="2">
        <v>10.0</v>
      </c>
      <c r="D15" s="2">
        <v>10.0</v>
      </c>
      <c r="E15" s="2">
        <v>10.0</v>
      </c>
      <c r="F15" s="2">
        <v>10.0</v>
      </c>
      <c r="G15" s="2">
        <v>10.0</v>
      </c>
    </row>
    <row r="16" ht="13.5" customHeight="1">
      <c r="A16" s="2">
        <v>14.0</v>
      </c>
      <c r="B16" s="2">
        <v>10.0</v>
      </c>
      <c r="C16" s="2">
        <v>10.0</v>
      </c>
      <c r="D16" s="2">
        <v>10.0</v>
      </c>
      <c r="E16" s="2">
        <v>10.0</v>
      </c>
      <c r="F16" s="2">
        <v>10.0</v>
      </c>
      <c r="G16" s="2">
        <v>10.0</v>
      </c>
    </row>
    <row r="17" ht="13.5" customHeight="1">
      <c r="A17" s="2">
        <v>15.0</v>
      </c>
      <c r="B17" s="2">
        <v>10.0</v>
      </c>
      <c r="C17" s="2">
        <v>10.0</v>
      </c>
      <c r="D17" s="2">
        <v>10.0</v>
      </c>
      <c r="E17" s="2">
        <v>10.0</v>
      </c>
      <c r="F17" s="2">
        <v>10.0</v>
      </c>
      <c r="G17" s="2">
        <v>10.0</v>
      </c>
    </row>
    <row r="18" ht="13.5" customHeight="1">
      <c r="A18" s="2">
        <v>16.0</v>
      </c>
      <c r="B18" s="2">
        <v>7.0</v>
      </c>
      <c r="C18" s="2">
        <v>7.0</v>
      </c>
      <c r="D18" s="2">
        <v>7.0</v>
      </c>
      <c r="E18" s="2">
        <v>7.0</v>
      </c>
      <c r="F18" s="2">
        <v>7.0</v>
      </c>
      <c r="G18" s="2">
        <v>7.0</v>
      </c>
    </row>
    <row r="19" ht="13.5" customHeight="1">
      <c r="A19" s="3" t="s">
        <v>7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</row>
    <row r="20" ht="13.5" customHeight="1">
      <c r="A20" s="2">
        <v>18.0</v>
      </c>
      <c r="B20" s="2">
        <v>10.0</v>
      </c>
      <c r="C20" s="2">
        <v>10.0</v>
      </c>
      <c r="D20" s="2">
        <v>10.0</v>
      </c>
      <c r="E20" s="2">
        <v>10.0</v>
      </c>
      <c r="F20" s="2">
        <v>10.0</v>
      </c>
      <c r="G20" s="2">
        <v>10.0</v>
      </c>
    </row>
    <row r="21" ht="13.5" customHeight="1">
      <c r="A21" s="2">
        <v>19.0</v>
      </c>
      <c r="B21" s="2">
        <v>10.0</v>
      </c>
      <c r="C21" s="2">
        <v>10.0</v>
      </c>
      <c r="D21" s="2">
        <v>10.0</v>
      </c>
      <c r="E21" s="2">
        <v>10.0</v>
      </c>
      <c r="F21" s="2">
        <v>10.0</v>
      </c>
      <c r="G21" s="2">
        <v>10.0</v>
      </c>
    </row>
    <row r="22" ht="13.5" customHeight="1">
      <c r="A22" s="2">
        <v>20.0</v>
      </c>
      <c r="B22" s="2">
        <v>10.0</v>
      </c>
      <c r="C22" s="2">
        <v>10.0</v>
      </c>
      <c r="D22" s="2">
        <v>10.0</v>
      </c>
      <c r="E22" s="2">
        <v>10.0</v>
      </c>
      <c r="F22" s="2">
        <v>10.0</v>
      </c>
      <c r="G22" s="3" t="s">
        <v>26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10.0</v>
      </c>
      <c r="F23" s="2">
        <v>10.0</v>
      </c>
      <c r="G23" s="3" t="s">
        <v>26</v>
      </c>
    </row>
    <row r="24" ht="13.5" customHeight="1">
      <c r="A24" s="2">
        <v>22.0</v>
      </c>
      <c r="B24" s="2">
        <v>10.5</v>
      </c>
      <c r="C24" s="2">
        <v>10.5</v>
      </c>
      <c r="D24" s="2">
        <v>10.5</v>
      </c>
      <c r="E24" s="2">
        <v>10.5</v>
      </c>
      <c r="F24" s="2">
        <v>10.5</v>
      </c>
      <c r="G24" s="2">
        <v>10.5</v>
      </c>
    </row>
    <row r="25" ht="13.5" customHeight="1">
      <c r="A25" s="2">
        <v>23.0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  <c r="F26" s="3" t="s">
        <v>5</v>
      </c>
      <c r="G26" s="3" t="s">
        <v>5</v>
      </c>
    </row>
    <row r="27" ht="13.5" customHeight="1">
      <c r="A27" s="2">
        <v>25.0</v>
      </c>
      <c r="B27" s="2">
        <v>10.0</v>
      </c>
      <c r="C27" s="2">
        <v>10.0</v>
      </c>
      <c r="D27" s="2">
        <v>10.0</v>
      </c>
      <c r="E27" s="2">
        <v>10.0</v>
      </c>
      <c r="F27" s="2">
        <v>10.0</v>
      </c>
      <c r="G27" s="2">
        <v>10.0</v>
      </c>
    </row>
    <row r="28" ht="13.5" customHeight="1">
      <c r="A28" s="2">
        <v>26.0</v>
      </c>
      <c r="B28" s="2">
        <v>10.0</v>
      </c>
      <c r="C28" s="2">
        <v>10.0</v>
      </c>
      <c r="D28" s="2">
        <v>10.0</v>
      </c>
      <c r="E28" s="2">
        <v>10.0</v>
      </c>
      <c r="F28" s="2">
        <v>10.0</v>
      </c>
      <c r="G28" s="2">
        <v>10.0</v>
      </c>
    </row>
    <row r="29" ht="13.5" customHeight="1">
      <c r="A29" s="2">
        <v>27.0</v>
      </c>
      <c r="B29" s="2">
        <v>10.0</v>
      </c>
      <c r="C29" s="2">
        <v>10.0</v>
      </c>
      <c r="D29" s="2">
        <v>10.0</v>
      </c>
      <c r="E29" s="2">
        <v>10.0</v>
      </c>
      <c r="F29" s="2">
        <v>10.0</v>
      </c>
      <c r="G29" s="2">
        <v>10.0</v>
      </c>
    </row>
    <row r="30" ht="13.5" customHeight="1">
      <c r="A30" s="2">
        <v>28.0</v>
      </c>
      <c r="B30" s="2">
        <v>10.0</v>
      </c>
      <c r="C30" s="2">
        <v>10.0</v>
      </c>
      <c r="D30" s="2">
        <v>10.0</v>
      </c>
      <c r="E30" s="2">
        <v>10.0</v>
      </c>
      <c r="F30" s="2">
        <v>10.0</v>
      </c>
      <c r="G30" s="2">
        <v>10.0</v>
      </c>
    </row>
    <row r="31" ht="13.5" customHeight="1">
      <c r="A31" s="2">
        <v>29.0</v>
      </c>
      <c r="B31" s="2">
        <v>10.0</v>
      </c>
      <c r="C31" s="2">
        <v>10.0</v>
      </c>
      <c r="D31" s="2">
        <v>10.0</v>
      </c>
      <c r="E31" s="2">
        <v>10.0</v>
      </c>
      <c r="F31" s="2">
        <v>10.0</v>
      </c>
      <c r="G31" s="2">
        <v>10.0</v>
      </c>
    </row>
    <row r="32" ht="13.5" customHeight="1">
      <c r="A32" s="2">
        <v>30.0</v>
      </c>
      <c r="B32" s="2">
        <v>7.0</v>
      </c>
      <c r="C32" s="2">
        <v>7.0</v>
      </c>
      <c r="D32" s="2">
        <v>7.0</v>
      </c>
      <c r="E32" s="2">
        <v>7.0</v>
      </c>
      <c r="F32" s="2">
        <v>7.0</v>
      </c>
      <c r="G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 t="s">
        <v>5</v>
      </c>
    </row>
    <row r="34" ht="13.5" customHeight="1">
      <c r="A34" s="3" t="s">
        <v>11</v>
      </c>
      <c r="B34" s="2">
        <f t="shared" ref="B34:G34" si="1">SUM(B3:B33)</f>
        <v>144.5</v>
      </c>
      <c r="C34" s="2">
        <f t="shared" si="1"/>
        <v>144.5</v>
      </c>
      <c r="D34" s="2">
        <f t="shared" si="1"/>
        <v>144.5</v>
      </c>
      <c r="E34" s="2">
        <f t="shared" si="1"/>
        <v>144.5</v>
      </c>
      <c r="F34" s="2">
        <f t="shared" si="1"/>
        <v>144.5</v>
      </c>
      <c r="G34" s="2">
        <f t="shared" si="1"/>
        <v>124.5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2" width="8.63"/>
    <col customWidth="1" min="3" max="3" width="15.25"/>
    <col customWidth="1" min="4" max="26" width="8.63"/>
  </cols>
  <sheetData>
    <row r="1" ht="13.5" customHeight="1">
      <c r="A1" s="3" t="s">
        <v>15</v>
      </c>
      <c r="B1" s="2" t="s">
        <v>269</v>
      </c>
    </row>
    <row r="2" ht="13.5" customHeight="1">
      <c r="B2" s="2" t="s">
        <v>270</v>
      </c>
    </row>
    <row r="3" ht="13.5" customHeight="1">
      <c r="A3" s="2">
        <v>1.0</v>
      </c>
      <c r="B3" s="2">
        <v>10.0</v>
      </c>
    </row>
    <row r="4" ht="13.5" customHeight="1">
      <c r="A4" s="2">
        <v>2.0</v>
      </c>
      <c r="B4" s="2">
        <v>6.0</v>
      </c>
    </row>
    <row r="5" ht="13.5" customHeight="1">
      <c r="A5" s="3" t="s">
        <v>4</v>
      </c>
      <c r="B5" s="3" t="s">
        <v>5</v>
      </c>
    </row>
    <row r="6" ht="13.5" customHeight="1">
      <c r="A6" s="2">
        <v>4.0</v>
      </c>
      <c r="B6" s="2">
        <v>10.0</v>
      </c>
    </row>
    <row r="7" ht="13.5" customHeight="1">
      <c r="A7" s="2">
        <v>5.0</v>
      </c>
      <c r="B7" s="2">
        <v>10.0</v>
      </c>
    </row>
    <row r="8" ht="13.5" customHeight="1">
      <c r="A8" s="2">
        <v>6.0</v>
      </c>
      <c r="B8" s="2">
        <v>10.0</v>
      </c>
    </row>
    <row r="9" ht="13.5" customHeight="1">
      <c r="A9" s="2">
        <v>7.0</v>
      </c>
      <c r="B9" s="2">
        <v>10.0</v>
      </c>
    </row>
    <row r="10" ht="13.5" customHeight="1">
      <c r="A10" s="2">
        <v>8.0</v>
      </c>
      <c r="B10" s="2">
        <v>10.0</v>
      </c>
    </row>
    <row r="11" ht="13.5" customHeight="1">
      <c r="A11" s="2">
        <v>9.0</v>
      </c>
      <c r="B11" s="2">
        <v>6.0</v>
      </c>
    </row>
    <row r="12" ht="13.5" customHeight="1">
      <c r="A12" s="3" t="s">
        <v>6</v>
      </c>
      <c r="B12" s="3" t="s">
        <v>5</v>
      </c>
    </row>
    <row r="13" ht="13.5" customHeight="1">
      <c r="A13" s="2">
        <v>11.0</v>
      </c>
      <c r="B13" s="2">
        <v>10.0</v>
      </c>
    </row>
    <row r="14" ht="13.5" customHeight="1">
      <c r="A14" s="2">
        <v>12.0</v>
      </c>
      <c r="B14" s="2">
        <v>10.0</v>
      </c>
    </row>
    <row r="15" ht="13.5" customHeight="1">
      <c r="A15" s="2">
        <v>13.0</v>
      </c>
      <c r="B15" s="2">
        <v>10.0</v>
      </c>
    </row>
    <row r="16" ht="13.5" customHeight="1">
      <c r="A16" s="2">
        <v>14.0</v>
      </c>
      <c r="B16" s="2">
        <v>10.0</v>
      </c>
    </row>
    <row r="17" ht="13.5" customHeight="1">
      <c r="A17" s="2">
        <v>15.0</v>
      </c>
      <c r="B17" s="2">
        <v>10.0</v>
      </c>
    </row>
    <row r="18" ht="13.5" customHeight="1">
      <c r="A18" s="2">
        <v>16.0</v>
      </c>
      <c r="B18" s="2">
        <v>6.0</v>
      </c>
    </row>
    <row r="19" ht="13.5" customHeight="1">
      <c r="A19" s="3" t="s">
        <v>7</v>
      </c>
      <c r="B19" s="3" t="s">
        <v>5</v>
      </c>
    </row>
    <row r="20" ht="13.5" customHeight="1">
      <c r="A20" s="2">
        <v>18.0</v>
      </c>
      <c r="B20" s="2">
        <v>10.0</v>
      </c>
    </row>
    <row r="21" ht="13.5" customHeight="1">
      <c r="A21" s="2">
        <v>19.0</v>
      </c>
      <c r="B21" s="2">
        <v>10.0</v>
      </c>
    </row>
    <row r="22" ht="13.5" customHeight="1">
      <c r="A22" s="2">
        <v>20.0</v>
      </c>
      <c r="B22" s="2">
        <v>10.0</v>
      </c>
    </row>
    <row r="23" ht="13.5" customHeight="1">
      <c r="A23" s="2">
        <v>21.0</v>
      </c>
      <c r="B23" s="2">
        <v>10.0</v>
      </c>
    </row>
    <row r="24" ht="13.5" customHeight="1">
      <c r="A24" s="2">
        <v>22.0</v>
      </c>
      <c r="B24" s="2">
        <v>10.0</v>
      </c>
    </row>
    <row r="25" ht="13.5" customHeight="1">
      <c r="A25" s="2">
        <v>23.0</v>
      </c>
      <c r="B25" s="2">
        <v>6.0</v>
      </c>
    </row>
    <row r="26" ht="13.5" customHeight="1">
      <c r="A26" s="3" t="s">
        <v>8</v>
      </c>
      <c r="B26" s="3" t="s">
        <v>5</v>
      </c>
    </row>
    <row r="27" ht="13.5" customHeight="1">
      <c r="A27" s="2">
        <v>25.0</v>
      </c>
      <c r="B27" s="2">
        <v>10.0</v>
      </c>
    </row>
    <row r="28" ht="13.5" customHeight="1">
      <c r="A28" s="2">
        <v>26.0</v>
      </c>
      <c r="B28" s="2">
        <v>10.0</v>
      </c>
    </row>
    <row r="29" ht="13.5" customHeight="1">
      <c r="A29" s="2">
        <v>27.0</v>
      </c>
      <c r="B29" s="2">
        <v>10.0</v>
      </c>
    </row>
    <row r="30" ht="13.5" customHeight="1">
      <c r="A30" s="2">
        <v>28.0</v>
      </c>
      <c r="B30" s="2">
        <v>10.0</v>
      </c>
    </row>
    <row r="31" ht="13.5" customHeight="1">
      <c r="A31" s="2">
        <v>29.0</v>
      </c>
    </row>
    <row r="32" ht="13.5" customHeight="1">
      <c r="A32" s="2">
        <v>30.0</v>
      </c>
      <c r="B32" s="2">
        <v>6.0</v>
      </c>
    </row>
    <row r="33" ht="13.5" customHeight="1">
      <c r="A33" s="3" t="s">
        <v>9</v>
      </c>
      <c r="B33" s="3" t="s">
        <v>5</v>
      </c>
      <c r="C33" s="4" t="s">
        <v>10</v>
      </c>
    </row>
    <row r="34" ht="13.5" customHeight="1">
      <c r="A34" s="5" t="s">
        <v>11</v>
      </c>
      <c r="B34" s="2">
        <f>SUM(B3:B33)</f>
        <v>230</v>
      </c>
      <c r="C34" s="7">
        <f>SUM(B34)</f>
        <v>230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6" width="8.63"/>
    <col customWidth="1" min="7" max="7" width="15.25"/>
    <col customWidth="1" min="8" max="26" width="8.63"/>
  </cols>
  <sheetData>
    <row r="1" ht="13.5" customHeight="1">
      <c r="A1" s="3" t="s">
        <v>15</v>
      </c>
      <c r="B1" s="2" t="s">
        <v>52</v>
      </c>
      <c r="C1" s="2" t="s">
        <v>271</v>
      </c>
      <c r="D1" s="2" t="s">
        <v>272</v>
      </c>
      <c r="E1" s="2" t="s">
        <v>253</v>
      </c>
      <c r="F1" s="2" t="s">
        <v>273</v>
      </c>
    </row>
    <row r="2" ht="13.5" customHeight="1">
      <c r="B2" s="2" t="s">
        <v>274</v>
      </c>
      <c r="C2" s="2" t="s">
        <v>275</v>
      </c>
      <c r="D2" s="2" t="s">
        <v>276</v>
      </c>
      <c r="E2" s="2" t="s">
        <v>255</v>
      </c>
      <c r="F2" s="2" t="s">
        <v>100</v>
      </c>
    </row>
    <row r="3" ht="13.5" customHeight="1">
      <c r="A3" s="2">
        <v>1.0</v>
      </c>
      <c r="B3" s="13" t="s">
        <v>210</v>
      </c>
    </row>
    <row r="4" ht="13.5" customHeight="1">
      <c r="A4" s="2">
        <v>2.0</v>
      </c>
      <c r="B4" s="12"/>
    </row>
    <row r="5" ht="13.5" customHeight="1">
      <c r="A5" s="3" t="s">
        <v>4</v>
      </c>
      <c r="B5" s="12"/>
    </row>
    <row r="6" ht="13.5" customHeight="1">
      <c r="A6" s="2">
        <v>4.0</v>
      </c>
      <c r="B6" s="12"/>
    </row>
    <row r="7" ht="13.5" customHeight="1">
      <c r="A7" s="2">
        <v>5.0</v>
      </c>
      <c r="B7" s="12"/>
    </row>
    <row r="8" ht="13.5" customHeight="1">
      <c r="A8" s="2">
        <v>6.0</v>
      </c>
      <c r="B8" s="12"/>
      <c r="E8" s="13" t="s">
        <v>267</v>
      </c>
    </row>
    <row r="9" ht="13.5" customHeight="1">
      <c r="A9" s="2">
        <v>7.0</v>
      </c>
      <c r="B9" s="12"/>
      <c r="E9" s="12"/>
    </row>
    <row r="10" ht="13.5" customHeight="1">
      <c r="A10" s="2">
        <v>8.0</v>
      </c>
      <c r="B10" s="12"/>
      <c r="E10" s="12"/>
    </row>
    <row r="11" ht="13.5" customHeight="1">
      <c r="A11" s="2">
        <v>9.0</v>
      </c>
      <c r="B11" s="12"/>
      <c r="E11" s="12"/>
    </row>
    <row r="12" ht="13.5" customHeight="1">
      <c r="A12" s="3" t="s">
        <v>6</v>
      </c>
      <c r="B12" s="12"/>
      <c r="E12" s="12"/>
    </row>
    <row r="13" ht="13.5" customHeight="1">
      <c r="A13" s="2">
        <v>11.0</v>
      </c>
      <c r="B13" s="12"/>
      <c r="E13" s="12"/>
    </row>
    <row r="14" ht="13.5" customHeight="1">
      <c r="A14" s="2">
        <v>12.0</v>
      </c>
      <c r="B14" s="12"/>
      <c r="E14" s="12"/>
    </row>
    <row r="15" ht="13.5" customHeight="1">
      <c r="A15" s="2">
        <v>13.0</v>
      </c>
      <c r="B15" s="12"/>
      <c r="E15" s="12"/>
    </row>
    <row r="16" ht="13.5" customHeight="1">
      <c r="A16" s="2">
        <v>14.0</v>
      </c>
      <c r="B16" s="12"/>
      <c r="E16" s="12"/>
    </row>
    <row r="17" ht="13.5" customHeight="1">
      <c r="A17" s="2">
        <v>15.0</v>
      </c>
      <c r="B17" s="12"/>
      <c r="E17" s="12"/>
      <c r="F17" s="2">
        <v>2.0</v>
      </c>
    </row>
    <row r="18" ht="13.5" customHeight="1">
      <c r="A18" s="2">
        <v>16.0</v>
      </c>
      <c r="B18" s="12"/>
      <c r="E18" s="12"/>
    </row>
    <row r="19" ht="13.5" customHeight="1">
      <c r="A19" s="3" t="s">
        <v>7</v>
      </c>
      <c r="E19" s="12"/>
      <c r="F19" s="3" t="s">
        <v>5</v>
      </c>
    </row>
    <row r="20" ht="13.5" customHeight="1">
      <c r="A20" s="2">
        <v>18.0</v>
      </c>
      <c r="E20" s="12"/>
      <c r="F20" s="2">
        <v>11.5</v>
      </c>
    </row>
    <row r="21" ht="13.5" customHeight="1">
      <c r="A21" s="2">
        <v>19.0</v>
      </c>
      <c r="E21" s="12"/>
      <c r="F21" s="2">
        <v>11.5</v>
      </c>
    </row>
    <row r="22" ht="13.5" customHeight="1">
      <c r="A22" s="2">
        <v>20.0</v>
      </c>
      <c r="C22" s="2">
        <v>11.5</v>
      </c>
      <c r="D22" s="2">
        <v>11.5</v>
      </c>
      <c r="E22" s="12"/>
      <c r="F22" s="2">
        <v>11.5</v>
      </c>
    </row>
    <row r="23" ht="13.5" customHeight="1">
      <c r="A23" s="2">
        <v>21.0</v>
      </c>
      <c r="C23" s="2">
        <v>11.0</v>
      </c>
      <c r="D23" s="2">
        <v>11.0</v>
      </c>
      <c r="E23" s="12"/>
      <c r="F23" s="2">
        <v>11.5</v>
      </c>
    </row>
    <row r="24" ht="13.5" customHeight="1">
      <c r="A24" s="2">
        <v>22.0</v>
      </c>
      <c r="C24" s="2">
        <v>11.0</v>
      </c>
      <c r="D24" s="2">
        <v>11.0</v>
      </c>
      <c r="E24" s="12"/>
      <c r="F24" s="2">
        <v>11.5</v>
      </c>
    </row>
    <row r="25" ht="13.5" customHeight="1">
      <c r="A25" s="2">
        <v>23.0</v>
      </c>
      <c r="C25" s="2">
        <v>7.0</v>
      </c>
      <c r="D25" s="2">
        <v>7.0</v>
      </c>
      <c r="F25" s="2">
        <v>7.0</v>
      </c>
    </row>
    <row r="26" ht="13.5" customHeight="1">
      <c r="A26" s="3" t="s">
        <v>8</v>
      </c>
      <c r="C26" s="3" t="s">
        <v>5</v>
      </c>
      <c r="D26" s="3" t="s">
        <v>5</v>
      </c>
      <c r="F26" s="3" t="s">
        <v>5</v>
      </c>
    </row>
    <row r="27" ht="13.5" customHeight="1">
      <c r="A27" s="2">
        <v>25.0</v>
      </c>
      <c r="C27" s="3" t="s">
        <v>26</v>
      </c>
      <c r="D27" s="3" t="s">
        <v>26</v>
      </c>
      <c r="F27" s="2">
        <v>11.5</v>
      </c>
    </row>
    <row r="28" ht="13.5" customHeight="1">
      <c r="A28" s="2">
        <v>26.0</v>
      </c>
      <c r="C28" s="3" t="s">
        <v>26</v>
      </c>
      <c r="D28" s="3" t="s">
        <v>26</v>
      </c>
      <c r="F28" s="2">
        <v>11.0</v>
      </c>
    </row>
    <row r="29" ht="13.5" customHeight="1">
      <c r="A29" s="2">
        <v>27.0</v>
      </c>
      <c r="C29" s="3" t="s">
        <v>26</v>
      </c>
      <c r="D29" s="3" t="s">
        <v>26</v>
      </c>
      <c r="F29" s="2">
        <v>11.0</v>
      </c>
    </row>
    <row r="30" ht="13.5" customHeight="1">
      <c r="A30" s="2">
        <v>28.0</v>
      </c>
      <c r="C30" s="2">
        <v>11.0</v>
      </c>
      <c r="D30" s="2">
        <v>11.0</v>
      </c>
      <c r="F30" s="2">
        <v>11.0</v>
      </c>
    </row>
    <row r="31" ht="13.5" customHeight="1">
      <c r="A31" s="2">
        <v>29.0</v>
      </c>
      <c r="B31" s="2">
        <v>11.0</v>
      </c>
      <c r="C31" s="2">
        <v>11.0</v>
      </c>
      <c r="D31" s="2">
        <v>11.0</v>
      </c>
      <c r="F31" s="2">
        <v>11.0</v>
      </c>
    </row>
    <row r="32" ht="13.5" customHeight="1">
      <c r="A32" s="2">
        <v>30.0</v>
      </c>
      <c r="B32" s="2">
        <v>7.0</v>
      </c>
      <c r="C32" s="2">
        <v>7.0</v>
      </c>
      <c r="D32" s="2">
        <v>7.0</v>
      </c>
      <c r="E32" s="2">
        <v>7.0</v>
      </c>
      <c r="F32" s="2">
        <v>7.0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29" t="s">
        <v>10</v>
      </c>
    </row>
    <row r="34" ht="13.5" customHeight="1">
      <c r="A34" s="5" t="s">
        <v>11</v>
      </c>
      <c r="B34" s="6">
        <f t="shared" ref="B34:F34" si="1">SUM(B3:B33)</f>
        <v>18</v>
      </c>
      <c r="C34" s="6">
        <f t="shared" si="1"/>
        <v>69.5</v>
      </c>
      <c r="D34" s="6">
        <f t="shared" si="1"/>
        <v>69.5</v>
      </c>
      <c r="E34" s="6">
        <f t="shared" si="1"/>
        <v>7</v>
      </c>
      <c r="F34" s="6">
        <f t="shared" si="1"/>
        <v>129</v>
      </c>
      <c r="G34" s="30">
        <f>SUM(B34:F34)</f>
        <v>293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5" width="8.63"/>
    <col customWidth="1" min="6" max="6" width="15.25"/>
    <col customWidth="1" min="7" max="7" width="12.0"/>
    <col customWidth="1" min="8" max="26" width="8.63"/>
  </cols>
  <sheetData>
    <row r="1" ht="13.5" customHeight="1">
      <c r="A1" s="3" t="s">
        <v>15</v>
      </c>
      <c r="B1" s="2" t="s">
        <v>247</v>
      </c>
      <c r="C1" s="2" t="s">
        <v>248</v>
      </c>
      <c r="D1" s="2" t="s">
        <v>249</v>
      </c>
      <c r="E1" s="14" t="s">
        <v>250</v>
      </c>
    </row>
    <row r="2" ht="13.5" customHeight="1">
      <c r="B2" s="2" t="s">
        <v>251</v>
      </c>
      <c r="C2" s="2" t="s">
        <v>76</v>
      </c>
      <c r="D2" s="2" t="s">
        <v>252</v>
      </c>
      <c r="E2" s="2" t="s">
        <v>153</v>
      </c>
    </row>
    <row r="3" ht="13.5" customHeight="1">
      <c r="A3" s="2">
        <v>1.0</v>
      </c>
      <c r="B3" s="2">
        <v>10.0</v>
      </c>
      <c r="C3" s="2">
        <v>10.0</v>
      </c>
      <c r="D3" s="2">
        <v>10.0</v>
      </c>
      <c r="E3" s="2">
        <v>10.0</v>
      </c>
    </row>
    <row r="4" ht="13.5" customHeight="1">
      <c r="A4" s="2">
        <v>2.0</v>
      </c>
      <c r="B4" s="2">
        <v>4.5</v>
      </c>
      <c r="C4" s="2">
        <v>4.5</v>
      </c>
      <c r="D4" s="2">
        <v>4.5</v>
      </c>
      <c r="E4" s="2">
        <v>4.5</v>
      </c>
    </row>
    <row r="5" ht="13.5" customHeight="1">
      <c r="A5" s="3" t="s">
        <v>4</v>
      </c>
      <c r="B5" s="3" t="s">
        <v>5</v>
      </c>
      <c r="C5" s="3" t="s">
        <v>5</v>
      </c>
      <c r="D5" s="3" t="s">
        <v>5</v>
      </c>
      <c r="E5" s="3" t="s">
        <v>5</v>
      </c>
    </row>
    <row r="6" ht="13.5" customHeight="1">
      <c r="A6" s="2">
        <v>4.0</v>
      </c>
      <c r="B6" s="2">
        <v>9.0</v>
      </c>
      <c r="C6" s="2">
        <v>9.0</v>
      </c>
      <c r="D6" s="2">
        <v>9.0</v>
      </c>
      <c r="E6" s="2">
        <v>9.0</v>
      </c>
    </row>
    <row r="7" ht="13.5" customHeight="1">
      <c r="A7" s="2">
        <v>5.0</v>
      </c>
      <c r="B7" s="2">
        <v>9.0</v>
      </c>
      <c r="C7" s="2">
        <v>9.0</v>
      </c>
      <c r="D7" s="2">
        <v>9.0</v>
      </c>
      <c r="E7" s="2">
        <v>9.0</v>
      </c>
    </row>
    <row r="8" ht="13.5" customHeight="1">
      <c r="A8" s="2">
        <v>6.0</v>
      </c>
      <c r="B8" s="2">
        <v>9.0</v>
      </c>
      <c r="C8" s="2">
        <v>9.0</v>
      </c>
      <c r="D8" s="2">
        <v>9.0</v>
      </c>
      <c r="E8" s="2">
        <v>9.0</v>
      </c>
    </row>
    <row r="9" ht="13.5" customHeight="1">
      <c r="A9" s="2">
        <v>7.0</v>
      </c>
      <c r="B9" s="2">
        <v>10.0</v>
      </c>
      <c r="C9" s="2">
        <v>10.0</v>
      </c>
      <c r="D9" s="2">
        <v>9.0</v>
      </c>
      <c r="E9" s="2">
        <v>9.0</v>
      </c>
    </row>
    <row r="10" ht="13.5" customHeight="1">
      <c r="A10" s="2">
        <v>8.0</v>
      </c>
      <c r="B10" s="2">
        <v>10.0</v>
      </c>
      <c r="C10" s="2">
        <v>10.0</v>
      </c>
      <c r="D10" s="2">
        <v>9.0</v>
      </c>
      <c r="E10" s="2">
        <v>9.0</v>
      </c>
    </row>
    <row r="11" ht="13.5" customHeight="1">
      <c r="A11" s="2">
        <v>9.0</v>
      </c>
      <c r="B11" s="2">
        <v>7.0</v>
      </c>
      <c r="C11" s="2">
        <v>7.0</v>
      </c>
      <c r="D11" s="2">
        <v>7.0</v>
      </c>
      <c r="E11" s="2">
        <v>7.0</v>
      </c>
    </row>
    <row r="12" ht="13.5" customHeight="1">
      <c r="A12" s="3" t="s">
        <v>6</v>
      </c>
      <c r="B12" s="3" t="s">
        <v>5</v>
      </c>
      <c r="C12" s="3" t="s">
        <v>5</v>
      </c>
      <c r="D12" s="3" t="s">
        <v>5</v>
      </c>
      <c r="E12" s="3" t="s">
        <v>5</v>
      </c>
    </row>
    <row r="13" ht="13.5" customHeight="1">
      <c r="A13" s="2">
        <v>11.0</v>
      </c>
      <c r="B13" s="2">
        <v>10.0</v>
      </c>
      <c r="C13" s="2">
        <v>10.0</v>
      </c>
      <c r="D13" s="2">
        <v>9.0</v>
      </c>
      <c r="E13" s="2">
        <v>9.0</v>
      </c>
    </row>
    <row r="14" ht="13.5" customHeight="1">
      <c r="A14" s="2">
        <v>12.0</v>
      </c>
      <c r="B14" s="2">
        <v>10.0</v>
      </c>
      <c r="C14" s="2">
        <v>10.0</v>
      </c>
      <c r="D14" s="2">
        <v>9.0</v>
      </c>
      <c r="E14" s="2">
        <v>9.0</v>
      </c>
    </row>
    <row r="15" ht="13.5" customHeight="1">
      <c r="A15" s="2">
        <v>13.0</v>
      </c>
      <c r="B15" s="3" t="s">
        <v>26</v>
      </c>
      <c r="C15" s="3" t="s">
        <v>26</v>
      </c>
      <c r="D15" s="2">
        <v>7.5</v>
      </c>
      <c r="E15" s="2">
        <v>7.5</v>
      </c>
    </row>
    <row r="16" ht="13.5" customHeight="1">
      <c r="A16" s="2">
        <v>14.0</v>
      </c>
      <c r="B16" s="2">
        <v>10.0</v>
      </c>
      <c r="C16" s="2">
        <v>10.0</v>
      </c>
      <c r="D16" s="3" t="s">
        <v>26</v>
      </c>
      <c r="E16" s="2">
        <v>9.0</v>
      </c>
    </row>
    <row r="17" ht="13.5" customHeight="1">
      <c r="A17" s="2">
        <v>15.0</v>
      </c>
      <c r="B17" s="2">
        <v>10.0</v>
      </c>
      <c r="C17" s="2">
        <v>10.0</v>
      </c>
      <c r="D17" s="2">
        <v>9.0</v>
      </c>
      <c r="E17" s="2">
        <v>9.0</v>
      </c>
    </row>
    <row r="18" ht="13.5" customHeight="1">
      <c r="A18" s="2">
        <v>16.0</v>
      </c>
      <c r="B18" s="2">
        <v>7.0</v>
      </c>
      <c r="C18" s="2">
        <v>7.0</v>
      </c>
      <c r="D18" s="2">
        <v>5.0</v>
      </c>
      <c r="E18" s="2">
        <v>5.0</v>
      </c>
    </row>
    <row r="19" ht="13.5" customHeight="1">
      <c r="A19" s="3" t="s">
        <v>7</v>
      </c>
      <c r="B19" s="3" t="s">
        <v>5</v>
      </c>
      <c r="C19" s="3" t="s">
        <v>5</v>
      </c>
      <c r="D19" s="2">
        <v>9.0</v>
      </c>
      <c r="E19" s="2">
        <v>9.0</v>
      </c>
    </row>
    <row r="20" ht="13.5" customHeight="1">
      <c r="A20" s="2">
        <v>18.0</v>
      </c>
      <c r="B20" s="2">
        <v>10.0</v>
      </c>
      <c r="C20" s="2">
        <v>10.0</v>
      </c>
      <c r="D20" s="2">
        <v>9.0</v>
      </c>
      <c r="E20" s="2">
        <v>9.0</v>
      </c>
    </row>
    <row r="21" ht="13.5" customHeight="1">
      <c r="A21" s="2">
        <v>19.0</v>
      </c>
      <c r="B21" s="2">
        <v>10.0</v>
      </c>
      <c r="C21" s="2">
        <v>10.0</v>
      </c>
      <c r="D21" s="2">
        <v>9.0</v>
      </c>
      <c r="E21" s="2">
        <v>9.0</v>
      </c>
    </row>
    <row r="22" ht="13.5" customHeight="1">
      <c r="A22" s="2">
        <v>20.0</v>
      </c>
      <c r="B22" s="2">
        <v>10.0</v>
      </c>
      <c r="C22" s="2">
        <v>10.0</v>
      </c>
      <c r="D22" s="2">
        <v>9.0</v>
      </c>
      <c r="E22" s="2">
        <v>9.0</v>
      </c>
    </row>
    <row r="23" ht="13.5" customHeight="1">
      <c r="A23" s="2">
        <v>21.0</v>
      </c>
      <c r="B23" s="2">
        <v>10.0</v>
      </c>
      <c r="C23" s="2">
        <v>10.0</v>
      </c>
      <c r="D23" s="2">
        <v>10.0</v>
      </c>
      <c r="E23" s="2">
        <v>9.5</v>
      </c>
    </row>
    <row r="24" ht="13.5" customHeight="1">
      <c r="A24" s="2">
        <v>22.0</v>
      </c>
      <c r="B24" s="2">
        <v>10.0</v>
      </c>
      <c r="C24" s="2">
        <v>10.0</v>
      </c>
      <c r="D24" s="2">
        <v>9.0</v>
      </c>
      <c r="E24" s="2">
        <v>8.5</v>
      </c>
    </row>
    <row r="25" ht="13.5" customHeight="1">
      <c r="A25" s="2">
        <v>23.0</v>
      </c>
      <c r="B25" s="2">
        <v>7.0</v>
      </c>
      <c r="C25" s="2">
        <v>7.0</v>
      </c>
      <c r="D25" s="2">
        <v>7.0</v>
      </c>
      <c r="E25" s="2">
        <v>6.5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2">
        <v>10.0</v>
      </c>
      <c r="C27" s="3" t="s">
        <v>26</v>
      </c>
      <c r="D27" s="2">
        <v>9.0</v>
      </c>
      <c r="E27" s="2">
        <v>8.5</v>
      </c>
    </row>
    <row r="28" ht="13.5" customHeight="1">
      <c r="A28" s="2">
        <v>26.0</v>
      </c>
      <c r="B28" s="2">
        <v>10.0</v>
      </c>
      <c r="C28" s="2">
        <v>10.0</v>
      </c>
      <c r="D28" s="2">
        <v>9.0</v>
      </c>
      <c r="E28" s="2">
        <v>8.5</v>
      </c>
    </row>
    <row r="29" ht="13.5" customHeight="1">
      <c r="A29" s="2">
        <v>27.0</v>
      </c>
      <c r="B29" s="2">
        <v>10.0</v>
      </c>
      <c r="C29" s="2">
        <v>10.0</v>
      </c>
      <c r="D29" s="2">
        <v>9.0</v>
      </c>
      <c r="E29" s="2">
        <v>8.5</v>
      </c>
    </row>
    <row r="30" ht="13.5" customHeight="1">
      <c r="A30" s="2">
        <v>28.0</v>
      </c>
      <c r="B30" s="2">
        <v>10.0</v>
      </c>
      <c r="C30" s="2">
        <v>10.0</v>
      </c>
      <c r="D30" s="2">
        <v>8.5</v>
      </c>
      <c r="E30" s="2">
        <v>8.5</v>
      </c>
    </row>
    <row r="31" ht="13.5" customHeight="1">
      <c r="A31" s="2">
        <v>29.0</v>
      </c>
      <c r="B31" s="2">
        <v>10.0</v>
      </c>
      <c r="C31" s="2">
        <v>10.0</v>
      </c>
      <c r="E31" s="2">
        <v>8.5</v>
      </c>
    </row>
    <row r="32" ht="13.5" customHeight="1">
      <c r="A32" s="2">
        <v>30.0</v>
      </c>
      <c r="B32" s="2">
        <v>7.0</v>
      </c>
      <c r="C32" s="2">
        <v>7.0</v>
      </c>
      <c r="D32" s="2">
        <v>8.5</v>
      </c>
      <c r="E32" s="2">
        <v>8.5</v>
      </c>
    </row>
    <row r="33" ht="13.5" customHeight="1">
      <c r="A33" s="3" t="s">
        <v>9</v>
      </c>
      <c r="B33" s="3" t="s">
        <v>5</v>
      </c>
      <c r="C33" s="3" t="s">
        <v>5</v>
      </c>
      <c r="D33" s="2">
        <v>9.0</v>
      </c>
      <c r="E33" s="2">
        <v>9.0</v>
      </c>
      <c r="F33" s="4" t="s">
        <v>10</v>
      </c>
    </row>
    <row r="34" ht="13.5" customHeight="1">
      <c r="A34" s="5" t="s">
        <v>11</v>
      </c>
      <c r="B34" s="6">
        <f t="shared" ref="B34:E34" si="1">SUM(B3:B33)</f>
        <v>229.5</v>
      </c>
      <c r="C34" s="6">
        <f t="shared" si="1"/>
        <v>219.5</v>
      </c>
      <c r="D34" s="6">
        <f t="shared" si="1"/>
        <v>221</v>
      </c>
      <c r="E34" s="6">
        <f t="shared" si="1"/>
        <v>235.5</v>
      </c>
      <c r="F34" s="7">
        <f>SUM(B34:E34)</f>
        <v>905.5</v>
      </c>
    </row>
    <row r="35" ht="13.5" customHeight="1"/>
    <row r="36" ht="13.5" customHeight="1">
      <c r="F36" s="10" t="s">
        <v>277</v>
      </c>
      <c r="G36" s="9" t="s">
        <v>12</v>
      </c>
    </row>
    <row r="37" ht="13.5" customHeight="1">
      <c r="F37" s="10">
        <f>F34*75</f>
        <v>67912.5</v>
      </c>
      <c r="G37" s="9" t="s">
        <v>13</v>
      </c>
    </row>
    <row r="38" ht="13.5" customHeight="1">
      <c r="F38" s="10">
        <f>F37*1.18</f>
        <v>80136.75</v>
      </c>
      <c r="G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F0C8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0.25"/>
    <col customWidth="1" min="3" max="3" width="8.63"/>
    <col customWidth="1" min="4" max="4" width="15.25"/>
    <col customWidth="1" min="5" max="5" width="12.0"/>
    <col customWidth="1" min="6" max="26" width="8.63"/>
  </cols>
  <sheetData>
    <row r="1" ht="13.5" customHeight="1">
      <c r="A1" s="3" t="s">
        <v>15</v>
      </c>
      <c r="B1" s="2" t="s">
        <v>129</v>
      </c>
      <c r="C1" s="2" t="s">
        <v>234</v>
      </c>
    </row>
    <row r="2" ht="13.5" customHeight="1">
      <c r="B2" s="2" t="s">
        <v>278</v>
      </c>
      <c r="C2" s="2" t="s">
        <v>238</v>
      </c>
    </row>
    <row r="3" ht="13.5" customHeight="1">
      <c r="A3" s="2">
        <v>1.0</v>
      </c>
      <c r="B3" s="2">
        <v>11.0</v>
      </c>
      <c r="C3" s="2">
        <v>11.0</v>
      </c>
    </row>
    <row r="4" ht="13.5" customHeight="1">
      <c r="A4" s="2">
        <v>2.0</v>
      </c>
      <c r="B4" s="2">
        <v>5.0</v>
      </c>
      <c r="C4" s="2">
        <v>5.0</v>
      </c>
    </row>
    <row r="5" ht="13.5" customHeight="1">
      <c r="A5" s="3" t="s">
        <v>4</v>
      </c>
      <c r="B5" s="3" t="s">
        <v>5</v>
      </c>
      <c r="C5" s="3" t="s">
        <v>5</v>
      </c>
    </row>
    <row r="6" ht="13.5" customHeight="1">
      <c r="A6" s="2">
        <v>4.0</v>
      </c>
      <c r="B6" s="2">
        <v>11.0</v>
      </c>
      <c r="C6" s="2">
        <v>11.0</v>
      </c>
    </row>
    <row r="7" ht="13.5" customHeight="1">
      <c r="A7" s="2">
        <v>5.0</v>
      </c>
      <c r="B7" s="2">
        <v>11.0</v>
      </c>
      <c r="C7" s="2">
        <v>11.0</v>
      </c>
    </row>
    <row r="8" ht="13.5" customHeight="1">
      <c r="A8" s="2">
        <v>6.0</v>
      </c>
      <c r="B8" s="2">
        <v>11.0</v>
      </c>
      <c r="C8" s="2">
        <v>11.0</v>
      </c>
    </row>
    <row r="9" ht="13.5" customHeight="1">
      <c r="A9" s="2">
        <v>7.0</v>
      </c>
      <c r="B9" s="2">
        <v>11.0</v>
      </c>
      <c r="C9" s="2">
        <v>11.0</v>
      </c>
    </row>
    <row r="10" ht="13.5" customHeight="1">
      <c r="A10" s="2">
        <v>8.0</v>
      </c>
      <c r="B10" s="2">
        <v>11.0</v>
      </c>
      <c r="C10" s="2">
        <v>11.0</v>
      </c>
    </row>
    <row r="11" ht="13.5" customHeight="1">
      <c r="A11" s="2">
        <v>9.0</v>
      </c>
      <c r="B11" s="2">
        <v>5.0</v>
      </c>
      <c r="C11" s="2">
        <v>5.0</v>
      </c>
    </row>
    <row r="12" ht="13.5" customHeight="1">
      <c r="A12" s="3" t="s">
        <v>6</v>
      </c>
      <c r="B12" s="3" t="s">
        <v>5</v>
      </c>
      <c r="C12" s="3" t="s">
        <v>5</v>
      </c>
    </row>
    <row r="13" ht="13.5" customHeight="1">
      <c r="A13" s="2">
        <v>11.0</v>
      </c>
      <c r="B13" s="2">
        <v>11.0</v>
      </c>
      <c r="C13" s="2">
        <v>11.0</v>
      </c>
    </row>
    <row r="14" ht="13.5" customHeight="1">
      <c r="A14" s="2">
        <v>12.0</v>
      </c>
      <c r="B14" s="12"/>
      <c r="C14" s="12"/>
    </row>
    <row r="15" ht="13.5" customHeight="1">
      <c r="A15" s="2">
        <v>13.0</v>
      </c>
      <c r="B15" s="12"/>
      <c r="C15" s="12"/>
    </row>
    <row r="16" ht="13.5" customHeight="1">
      <c r="A16" s="2">
        <v>14.0</v>
      </c>
      <c r="B16" s="12"/>
      <c r="C16" s="12"/>
    </row>
    <row r="17" ht="13.5" customHeight="1">
      <c r="A17" s="2">
        <v>15.0</v>
      </c>
      <c r="B17" s="12"/>
      <c r="C17" s="12"/>
    </row>
    <row r="18" ht="13.5" customHeight="1">
      <c r="A18" s="2">
        <v>16.0</v>
      </c>
      <c r="B18" s="12"/>
      <c r="C18" s="12"/>
    </row>
    <row r="19" ht="13.5" customHeight="1">
      <c r="A19" s="3" t="s">
        <v>7</v>
      </c>
      <c r="B19" s="12"/>
      <c r="C19" s="12"/>
    </row>
    <row r="20" ht="13.5" customHeight="1">
      <c r="A20" s="2">
        <v>18.0</v>
      </c>
      <c r="B20" s="2">
        <v>3.0</v>
      </c>
      <c r="C20" s="12"/>
    </row>
    <row r="21" ht="13.5" customHeight="1">
      <c r="A21" s="2">
        <v>19.0</v>
      </c>
      <c r="B21" s="2">
        <v>11.0</v>
      </c>
      <c r="C21" s="12"/>
    </row>
    <row r="22" ht="13.5" customHeight="1">
      <c r="A22" s="2">
        <v>20.0</v>
      </c>
      <c r="B22" s="2">
        <v>11.0</v>
      </c>
      <c r="C22" s="2">
        <v>11.0</v>
      </c>
    </row>
    <row r="23" ht="13.5" customHeight="1">
      <c r="A23" s="2">
        <v>21.0</v>
      </c>
      <c r="B23" s="2">
        <v>11.0</v>
      </c>
      <c r="C23" s="2">
        <v>11.0</v>
      </c>
    </row>
    <row r="24" ht="13.5" customHeight="1">
      <c r="A24" s="2">
        <v>22.0</v>
      </c>
      <c r="B24" s="2">
        <v>11.0</v>
      </c>
      <c r="C24" s="2">
        <v>11.0</v>
      </c>
    </row>
    <row r="25" ht="13.5" customHeight="1">
      <c r="A25" s="2">
        <v>23.0</v>
      </c>
      <c r="C25" s="2">
        <v>6.0</v>
      </c>
    </row>
    <row r="26" ht="13.5" customHeight="1">
      <c r="A26" s="3" t="s">
        <v>8</v>
      </c>
      <c r="B26" s="3" t="s">
        <v>5</v>
      </c>
      <c r="C26" s="3" t="s">
        <v>5</v>
      </c>
    </row>
    <row r="27" ht="13.5" customHeight="1">
      <c r="A27" s="2">
        <v>25.0</v>
      </c>
      <c r="B27" s="2">
        <v>11.0</v>
      </c>
      <c r="C27" s="2">
        <v>11.0</v>
      </c>
    </row>
    <row r="28" ht="13.5" customHeight="1">
      <c r="A28" s="2">
        <v>26.0</v>
      </c>
      <c r="B28" s="2">
        <v>11.0</v>
      </c>
      <c r="C28" s="2">
        <v>11.0</v>
      </c>
    </row>
    <row r="29" ht="13.5" customHeight="1">
      <c r="A29" s="2">
        <v>27.0</v>
      </c>
      <c r="B29" s="2">
        <v>11.0</v>
      </c>
      <c r="C29" s="2">
        <v>11.0</v>
      </c>
    </row>
    <row r="30" ht="13.5" customHeight="1">
      <c r="A30" s="2">
        <v>28.0</v>
      </c>
      <c r="B30" s="2">
        <v>11.0</v>
      </c>
      <c r="C30" s="2">
        <v>11.0</v>
      </c>
    </row>
    <row r="31" ht="13.5" customHeight="1">
      <c r="A31" s="2">
        <v>29.0</v>
      </c>
      <c r="B31" s="2">
        <v>11.0</v>
      </c>
      <c r="C31" s="2">
        <v>11.0</v>
      </c>
    </row>
    <row r="32" ht="13.5" customHeight="1">
      <c r="A32" s="2">
        <v>30.0</v>
      </c>
      <c r="B32" s="2">
        <v>7.0</v>
      </c>
      <c r="C32" s="2">
        <v>6.0</v>
      </c>
    </row>
    <row r="33" ht="13.5" customHeight="1">
      <c r="A33" s="3" t="s">
        <v>9</v>
      </c>
      <c r="B33" s="13" t="s">
        <v>5</v>
      </c>
      <c r="C33" s="3" t="s">
        <v>5</v>
      </c>
      <c r="D33" s="4" t="s">
        <v>10</v>
      </c>
    </row>
    <row r="34" ht="13.5" customHeight="1">
      <c r="A34" s="5" t="s">
        <v>11</v>
      </c>
      <c r="B34" s="6">
        <f t="shared" ref="B34:C34" si="1">SUM(B3:B33)</f>
        <v>196</v>
      </c>
      <c r="C34" s="6">
        <f t="shared" si="1"/>
        <v>187</v>
      </c>
      <c r="D34" s="7">
        <f>SUM(B34:C34)</f>
        <v>383</v>
      </c>
    </row>
    <row r="35" ht="13.5" customHeight="1"/>
    <row r="36" ht="13.5" customHeight="1">
      <c r="D36" s="10" t="s">
        <v>279</v>
      </c>
      <c r="E36" s="9" t="s">
        <v>12</v>
      </c>
    </row>
    <row r="37" ht="13.5" customHeight="1">
      <c r="D37" s="10">
        <f>D34*76</f>
        <v>29108</v>
      </c>
      <c r="E37" s="9" t="s">
        <v>13</v>
      </c>
    </row>
    <row r="38" ht="13.5" customHeight="1">
      <c r="D38" s="10">
        <f>D37*1.18</f>
        <v>34347.44</v>
      </c>
      <c r="E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5" width="8.63"/>
    <col customWidth="1" min="6" max="6" width="15.25"/>
    <col customWidth="1" min="7" max="7" width="12.0"/>
    <col customWidth="1" min="8" max="26" width="8.63"/>
  </cols>
  <sheetData>
    <row r="1" ht="13.5" customHeight="1">
      <c r="A1" s="3" t="s">
        <v>15</v>
      </c>
      <c r="B1" s="2" t="s">
        <v>138</v>
      </c>
      <c r="C1" s="2" t="s">
        <v>280</v>
      </c>
      <c r="D1" s="2" t="s">
        <v>281</v>
      </c>
      <c r="E1" s="2" t="s">
        <v>282</v>
      </c>
    </row>
    <row r="2" ht="13.5" customHeight="1">
      <c r="B2" s="2" t="s">
        <v>139</v>
      </c>
      <c r="C2" s="2" t="s">
        <v>46</v>
      </c>
      <c r="D2" s="2" t="s">
        <v>19</v>
      </c>
      <c r="E2" s="2" t="s">
        <v>76</v>
      </c>
    </row>
    <row r="3" ht="13.5" customHeight="1">
      <c r="A3" s="2">
        <v>1.0</v>
      </c>
      <c r="B3" s="13" t="s">
        <v>283</v>
      </c>
    </row>
    <row r="4" ht="13.5" customHeight="1">
      <c r="A4" s="2">
        <v>2.0</v>
      </c>
      <c r="B4" s="12"/>
    </row>
    <row r="5" ht="13.5" customHeight="1">
      <c r="A5" s="3" t="s">
        <v>4</v>
      </c>
      <c r="B5" s="12"/>
    </row>
    <row r="6" ht="13.5" customHeight="1">
      <c r="A6" s="2">
        <v>4.0</v>
      </c>
      <c r="B6" s="12"/>
    </row>
    <row r="7" ht="13.5" customHeight="1">
      <c r="A7" s="2">
        <v>5.0</v>
      </c>
      <c r="B7" s="12"/>
    </row>
    <row r="8" ht="13.5" customHeight="1">
      <c r="A8" s="2">
        <v>6.0</v>
      </c>
      <c r="B8" s="12"/>
    </row>
    <row r="9" ht="13.5" customHeight="1">
      <c r="A9" s="2">
        <v>7.0</v>
      </c>
      <c r="B9" s="12"/>
    </row>
    <row r="10" ht="13.5" customHeight="1">
      <c r="A10" s="2">
        <v>8.0</v>
      </c>
      <c r="B10" s="12"/>
    </row>
    <row r="11" ht="13.5" customHeight="1">
      <c r="A11" s="2">
        <v>9.0</v>
      </c>
      <c r="B11" s="12"/>
    </row>
    <row r="12" ht="13.5" customHeight="1">
      <c r="A12" s="3" t="s">
        <v>6</v>
      </c>
      <c r="B12" s="12"/>
    </row>
    <row r="13" ht="13.5" customHeight="1">
      <c r="A13" s="2">
        <v>11.0</v>
      </c>
      <c r="B13" s="12"/>
    </row>
    <row r="14" ht="13.5" customHeight="1">
      <c r="A14" s="2">
        <v>12.0</v>
      </c>
      <c r="B14" s="12"/>
    </row>
    <row r="15" ht="13.5" customHeight="1">
      <c r="A15" s="2">
        <v>13.0</v>
      </c>
      <c r="B15" s="12"/>
    </row>
    <row r="16" ht="13.5" customHeight="1">
      <c r="A16" s="2">
        <v>14.0</v>
      </c>
      <c r="B16" s="12"/>
    </row>
    <row r="17" ht="13.5" customHeight="1">
      <c r="A17" s="2">
        <v>15.0</v>
      </c>
      <c r="B17" s="12"/>
    </row>
    <row r="18" ht="13.5" customHeight="1">
      <c r="A18" s="2">
        <v>16.0</v>
      </c>
      <c r="B18" s="12"/>
    </row>
    <row r="19" ht="13.5" customHeight="1">
      <c r="A19" s="3" t="s">
        <v>7</v>
      </c>
      <c r="B19" s="3" t="s">
        <v>5</v>
      </c>
      <c r="C19" s="3" t="s">
        <v>5</v>
      </c>
    </row>
    <row r="20" ht="13.5" customHeight="1">
      <c r="A20" s="2">
        <v>18.0</v>
      </c>
      <c r="C20" s="2">
        <v>11.0</v>
      </c>
      <c r="D20" s="2">
        <v>11.0</v>
      </c>
      <c r="E20" s="2">
        <v>11.0</v>
      </c>
    </row>
    <row r="21" ht="13.5" customHeight="1">
      <c r="A21" s="2">
        <v>19.0</v>
      </c>
      <c r="B21" s="2">
        <v>11.0</v>
      </c>
      <c r="C21" s="2">
        <v>11.0</v>
      </c>
      <c r="D21" s="2">
        <v>11.0</v>
      </c>
      <c r="E21" s="2">
        <v>11.0</v>
      </c>
    </row>
    <row r="22" ht="13.5" customHeight="1">
      <c r="A22" s="2">
        <v>20.0</v>
      </c>
      <c r="B22" s="2">
        <v>11.0</v>
      </c>
      <c r="C22" s="2">
        <v>11.0</v>
      </c>
      <c r="D22" s="2">
        <v>11.0</v>
      </c>
      <c r="E22" s="2">
        <v>11.0</v>
      </c>
    </row>
    <row r="23" ht="13.5" customHeight="1">
      <c r="A23" s="2">
        <v>21.0</v>
      </c>
      <c r="B23" s="2">
        <v>11.0</v>
      </c>
      <c r="C23" s="2">
        <v>11.0</v>
      </c>
      <c r="D23" s="2">
        <v>11.0</v>
      </c>
      <c r="E23" s="2">
        <v>11.0</v>
      </c>
    </row>
    <row r="24" ht="13.5" customHeight="1">
      <c r="A24" s="2">
        <v>22.0</v>
      </c>
      <c r="B24" s="2">
        <v>11.0</v>
      </c>
      <c r="C24" s="2">
        <v>11.0</v>
      </c>
      <c r="D24" s="2">
        <v>11.0</v>
      </c>
      <c r="E24" s="2">
        <v>11.0</v>
      </c>
    </row>
    <row r="25" ht="13.5" customHeight="1">
      <c r="A25" s="2">
        <v>23.0</v>
      </c>
    </row>
    <row r="26" ht="13.5" customHeight="1">
      <c r="A26" s="3" t="s">
        <v>8</v>
      </c>
      <c r="B26" s="3" t="s">
        <v>5</v>
      </c>
      <c r="C26" s="3" t="s">
        <v>5</v>
      </c>
      <c r="D26" s="3" t="s">
        <v>5</v>
      </c>
      <c r="E26" s="3" t="s">
        <v>5</v>
      </c>
    </row>
    <row r="27" ht="13.5" customHeight="1">
      <c r="A27" s="2">
        <v>25.0</v>
      </c>
      <c r="B27" s="3" t="s">
        <v>26</v>
      </c>
      <c r="C27" s="2">
        <v>11.0</v>
      </c>
      <c r="D27" s="2">
        <v>11.0</v>
      </c>
      <c r="E27" s="2">
        <v>11.0</v>
      </c>
    </row>
    <row r="28" ht="13.5" customHeight="1">
      <c r="A28" s="2">
        <v>26.0</v>
      </c>
      <c r="B28" s="2">
        <v>11.0</v>
      </c>
      <c r="C28" s="2">
        <v>11.0</v>
      </c>
      <c r="D28" s="2">
        <v>11.0</v>
      </c>
      <c r="E28" s="3" t="s">
        <v>26</v>
      </c>
    </row>
    <row r="29" ht="13.5" customHeight="1">
      <c r="A29" s="2">
        <v>27.0</v>
      </c>
      <c r="B29" s="2">
        <v>11.0</v>
      </c>
      <c r="C29" s="2">
        <v>11.0</v>
      </c>
      <c r="D29" s="2">
        <v>11.0</v>
      </c>
      <c r="E29" s="2">
        <v>11.0</v>
      </c>
    </row>
    <row r="30" ht="13.5" customHeight="1">
      <c r="A30" s="2">
        <v>28.0</v>
      </c>
      <c r="B30" s="2">
        <v>11.0</v>
      </c>
      <c r="C30" s="2">
        <v>11.0</v>
      </c>
      <c r="D30" s="2">
        <v>11.0</v>
      </c>
      <c r="E30" s="2">
        <v>11.0</v>
      </c>
    </row>
    <row r="31" ht="13.5" customHeight="1">
      <c r="A31" s="2">
        <v>29.0</v>
      </c>
      <c r="B31" s="2">
        <v>11.0</v>
      </c>
      <c r="C31" s="26">
        <v>11.0</v>
      </c>
      <c r="D31" s="26">
        <v>11.0</v>
      </c>
      <c r="E31" s="26">
        <v>11.0</v>
      </c>
    </row>
    <row r="32" ht="13.5" customHeight="1">
      <c r="A32" s="2">
        <v>30.0</v>
      </c>
    </row>
    <row r="33" ht="13.5" customHeight="1">
      <c r="A33" s="3" t="s">
        <v>9</v>
      </c>
      <c r="B33" s="3" t="s">
        <v>5</v>
      </c>
      <c r="C33" s="3" t="s">
        <v>5</v>
      </c>
      <c r="D33" s="3" t="s">
        <v>5</v>
      </c>
      <c r="E33" s="3" t="s">
        <v>5</v>
      </c>
      <c r="F33" s="4" t="s">
        <v>10</v>
      </c>
    </row>
    <row r="34" ht="13.5" customHeight="1">
      <c r="A34" s="5" t="s">
        <v>11</v>
      </c>
      <c r="B34" s="6">
        <f t="shared" ref="B34:E34" si="1">SUM(B3:B33)</f>
        <v>88</v>
      </c>
      <c r="C34" s="6">
        <f t="shared" si="1"/>
        <v>110</v>
      </c>
      <c r="D34" s="6">
        <f t="shared" si="1"/>
        <v>110</v>
      </c>
      <c r="E34" s="6">
        <f t="shared" si="1"/>
        <v>99</v>
      </c>
      <c r="F34" s="7">
        <f>SUM(B34:E34)</f>
        <v>407</v>
      </c>
    </row>
    <row r="35" ht="13.5" customHeight="1"/>
    <row r="36" ht="13.5" customHeight="1">
      <c r="F36" s="10" t="s">
        <v>21</v>
      </c>
      <c r="G36" s="9" t="s">
        <v>12</v>
      </c>
    </row>
    <row r="37" ht="13.5" customHeight="1">
      <c r="F37" s="10">
        <f>F34*78</f>
        <v>31746</v>
      </c>
      <c r="G37" s="9" t="s">
        <v>13</v>
      </c>
    </row>
    <row r="38" ht="13.5" customHeight="1">
      <c r="F38" s="10">
        <f>F37*1.18</f>
        <v>37460.28</v>
      </c>
      <c r="G38" s="9" t="s">
        <v>14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2026-02-01T09:37:54Z</dcterms:created>
  <dc:creator>ניצן מיכאלי</dc:creator>
</cp:coreProperties>
</file>